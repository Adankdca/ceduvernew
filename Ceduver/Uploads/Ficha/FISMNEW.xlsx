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externalLink+xml" PartName="/xl/externalLinks/externalLink4.xml"/>
  <Override ContentType="application/vnd.openxmlformats-officedocument.drawing+xml" PartName="/xl/drawings/drawing2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2760" yWindow="32760" windowWidth="19440" windowHeight="9780" tabRatio="715"/>
  </bookViews>
  <sheets>
    <sheet name="fism" sheetId="23" r:id="rId1"/>
    <sheet name="GENERADOR" sheetId="29" state="hidden" r:id="rId2"/>
  </sheets>
  <externalReferences>
    <externalReference r:id="rId3"/>
    <externalReference r:id="rId4"/>
    <externalReference r:id="rId5"/>
    <externalReference r:id="rId6"/>
  </externalReferences>
  <definedNames>
    <definedName name="\c">#REF!</definedName>
    <definedName name="\d">#REF!</definedName>
    <definedName name="\i">#REF!</definedName>
    <definedName name="_xlnm.Print_Area">#REF!</definedName>
    <definedName name="_xlnm.Print_Area" localSheetId="0">fism!$A$1:$F$271</definedName>
    <definedName name="_xlnm.Print_Area" localSheetId="1">GENERADOR!$A$1:$L$308</definedName>
    <definedName name="_xlnm.Print_Titles">#REF!</definedName>
    <definedName name="_xlnm.Print_Titles" localSheetId="0">fism!$A:$F,fism!$1:$37</definedName>
    <definedName name="_xlnm.Print_Titles" localSheetId="1">GENERADOR!$A:$K,GENERADOR!$1:$17</definedName>
    <definedName name="A">#REF!</definedName>
    <definedName name="A" localSheetId="0">fism!#REF!</definedName>
    <definedName name="A_impresión_IM">#REF!</definedName>
    <definedName name="julian">#REF!</definedName>
    <definedName name="LUGO">#REF!</definedName>
    <definedName name="MAS">#REF!</definedName>
    <definedName name="MES">#REF!</definedName>
    <definedName name="MMES">#REF!</definedName>
  </definedNames>
  <calcPr calcId="125725" fullCalcOnLoad="1" fullPrecision="1"/>
</workbook>
</file>

<file path=xl/sharedStrings.xml><?xml version="1.0" encoding="utf-8"?>
<sst xmlns="http://schemas.openxmlformats.org/spreadsheetml/2006/main" count="120" uniqueCount="120">
  <si>
    <t>CEDULA DE FINIQUITO DE OBRA</t>
  </si>
  <si>
    <t>EJERCICIO: 2022</t>
  </si>
  <si>
    <t>CLAVE MPAL:</t>
  </si>
  <si>
    <t>067</t>
  </si>
  <si>
    <t xml:space="preserve">FECHA: </t>
  </si>
  <si>
    <t xml:space="preserve">HOJA: </t>
  </si>
  <si>
    <t xml:space="preserve">DE </t>
  </si>
  <si>
    <t>MES:</t>
  </si>
  <si>
    <t>octubre</t>
  </si>
  <si>
    <t>DATOS GENERALES</t>
  </si>
  <si>
    <t xml:space="preserve">MUNICIPIO : </t>
  </si>
  <si>
    <t>OCOZOCOAUTLA DE ESPINOSA</t>
  </si>
  <si>
    <t>NOMBRE DEL PROYECTO</t>
  </si>
  <si>
    <t>EQUIPAMIENTO DE ESPACIOS MULTIDEPORTIVOS (AUDITORIO MUNICIPAL)</t>
  </si>
  <si>
    <t>CLAVES PRESUPUESTALES:</t>
  </si>
  <si>
    <t>NO. OBRA</t>
  </si>
  <si>
    <t>OP01</t>
  </si>
  <si>
    <t xml:space="preserve">PROGRAMA :  </t>
  </si>
  <si>
    <t>programa de pavimentación</t>
  </si>
  <si>
    <t xml:space="preserve">SUBPROGRAMA: </t>
  </si>
  <si>
    <t>bacheo</t>
  </si>
  <si>
    <t>SITUACION FINANCIERA</t>
  </si>
  <si>
    <t>PRESUPUESTO PROGRAMADO</t>
  </si>
  <si>
    <t>PRESUPUESTO DEVENGADO</t>
  </si>
  <si>
    <t>SALDO</t>
  </si>
  <si>
    <t>FUENTE DE FINANCIAMIENTO: $0.00</t>
  </si>
  <si>
    <t>FUENTE DE FINANCIAMIENTO</t>
  </si>
  <si>
    <t>TOTAL: $0.00</t>
  </si>
  <si>
    <t>TOTAL</t>
  </si>
  <si>
    <t xml:space="preserve">Modalidad de Ejecución: C O N T R A T O  /  A D M I N I S T R A C I Ó N  D I R E C T A</t>
  </si>
  <si>
    <t>GEORREFERENCIACION</t>
  </si>
  <si>
    <t>PERIODO DE EJECUCIÓN</t>
  </si>
  <si>
    <t>LATITUD</t>
  </si>
  <si>
    <t>LONGITUD</t>
  </si>
  <si>
    <t>PROGRAMADO</t>
  </si>
  <si>
    <t>REAL</t>
  </si>
  <si>
    <t>FINANCIERO</t>
  </si>
  <si>
    <t>2541254254145</t>
  </si>
  <si>
    <t>-36598544121</t>
  </si>
  <si>
    <t>INICIO</t>
  </si>
  <si>
    <t>TERMINO</t>
  </si>
  <si>
    <t>95.00%</t>
  </si>
  <si>
    <t>NO. CONTRATO</t>
  </si>
  <si>
    <t>01/01/1900</t>
  </si>
  <si>
    <t>16/02/2023</t>
  </si>
  <si>
    <t>PM/DOPM/FISM/A.D.001-2022</t>
  </si>
  <si>
    <t>CONTRATISTA</t>
  </si>
  <si>
    <t>OBSERVACIONES</t>
  </si>
  <si>
    <t>AYUNTAMIENTO (ADMINIISTRACION DIRECTA)</t>
  </si>
  <si>
    <t>se realizaron los trabajos sin ninguna complicación</t>
  </si>
  <si>
    <t>DESCRIPCION DE LA OBRA</t>
  </si>
  <si>
    <t>COORDENADAS</t>
  </si>
  <si>
    <t>LAT 2541254254145°</t>
  </si>
  <si>
    <t>LONG -36598544121°</t>
  </si>
  <si>
    <t>H. AYUNTAMIENTO MUNICIPAL CONSTITUCIONAL DE TZIMOL, CHIAPAS.</t>
  </si>
  <si>
    <t>2018 - 2021</t>
  </si>
  <si>
    <t>DIRECCIÓN DE OBRAS PÚBLICAS MUNICIPALES</t>
  </si>
  <si>
    <t xml:space="preserve">LOCALIDAD:  LA MESILLA</t>
  </si>
  <si>
    <t>MUNICIPIO: TZIMOL, CHIAPAS.</t>
  </si>
  <si>
    <t>OBRA: CONSTRUCCION DEL SISTEMA DE ALCANTARILLADO SANITARIO</t>
  </si>
  <si>
    <t>OBRA:</t>
  </si>
  <si>
    <t>CONSTRUCCION DEL SISTEMA DE ALCANTARILLADO SANITARIO</t>
  </si>
  <si>
    <t>LOCALIDAD:</t>
  </si>
  <si>
    <t>LA MESILLA</t>
  </si>
  <si>
    <t>NUMEROS GENERADORES</t>
  </si>
  <si>
    <t>CODIGO</t>
  </si>
  <si>
    <t>CONCEPTO</t>
  </si>
  <si>
    <t>UNIDAD</t>
  </si>
  <si>
    <t>LOCALIZACION</t>
  </si>
  <si>
    <t>PZAS.</t>
  </si>
  <si>
    <t>LARGO</t>
  </si>
  <si>
    <t>ANCHO</t>
  </si>
  <si>
    <t>ALTO</t>
  </si>
  <si>
    <t>RESULTADO</t>
  </si>
  <si>
    <t>EJE</t>
  </si>
  <si>
    <t>TRAMO</t>
  </si>
  <si>
    <t>TIPO</t>
  </si>
  <si>
    <t>RED DE ATARJEAS</t>
  </si>
  <si>
    <t>A0501</t>
  </si>
  <si>
    <t>LIMPIA Y TRAZO</t>
  </si>
  <si>
    <t>M2</t>
  </si>
  <si>
    <t>ML</t>
  </si>
  <si>
    <t>A10</t>
  </si>
  <si>
    <t>PRELIMINARES</t>
  </si>
  <si>
    <t>A1001</t>
  </si>
  <si>
    <t>RUPTURA DE PAVIMENTOS</t>
  </si>
  <si>
    <t>M3</t>
  </si>
  <si>
    <t>A1002</t>
  </si>
  <si>
    <t>REPOSICION DE PAVIMENTOS</t>
  </si>
  <si>
    <t>A1011</t>
  </si>
  <si>
    <t>EXCAVACION EN ZANJA</t>
  </si>
  <si>
    <t>40% EXC. A MANO PARA PROTEGER TUBERIA DE AGUA Y TOMAS EXISTENTE</t>
  </si>
  <si>
    <t>Material "B"</t>
  </si>
  <si>
    <t>50% EXC. A MAQUINA</t>
  </si>
  <si>
    <t>Material "C"</t>
  </si>
  <si>
    <t>S/C</t>
  </si>
  <si>
    <t xml:space="preserve">EXCAVACION CON APOYO DE EQUIPO MANUAL Y MECANICO PARA ZANJAS EN MATERIAL "C" EN SECO, CON EXTRACCION DE REZAGA A MANO, INCLUYE: AFLOJE, AMACICE, LIMPIEZA DE PLANTILLA Y TALUDES,  ACARREO A 10 M DEL EJE DE LA MISMA Y CONSERVACION DE LA EXCAVACION HASTA LA INSTALACION SATISFACTORIA DE LA TUBERIA: DE 4.00 A 6.00 MTS. DE PROFUNDIDAD INCLUYE TODO LO NECESARIO PARA SU CORRECTA EJECUCION.</t>
  </si>
  <si>
    <t>VOL DE EXCAVACION TOTAL</t>
  </si>
  <si>
    <t>VOL.TOTAL DE PAVIMENTO</t>
  </si>
  <si>
    <t>MENOS VOL. DE TUBERIA</t>
  </si>
  <si>
    <t>AREA</t>
  </si>
  <si>
    <t>M3-km</t>
  </si>
  <si>
    <t>VOL.</t>
  </si>
  <si>
    <t>A1020</t>
  </si>
  <si>
    <t>RELLENOS</t>
  </si>
  <si>
    <t>Según plantilla de cálculo</t>
  </si>
  <si>
    <t>A1024</t>
  </si>
  <si>
    <t>ADEMES</t>
  </si>
  <si>
    <t>S/C -01CHAR</t>
  </si>
  <si>
    <t>SUMINISTRO E INSTALACION DE VALVULA ANTIRETORNO CHEKC (TIPO CHARNELA) DE P.V.C. SANITARIO (ALCANTARILLADO) DE 200 MM. (8"); INCL. MATERIALES, HERRAMIENTAS Y MANIOBRAS LOCALES. INCLUYE TODO LO NECESARIO PARA SU CORRECTA EJECUCION.</t>
  </si>
  <si>
    <t>PZA</t>
  </si>
  <si>
    <t>Pozos No.: 01', 07, 09,03, 04, 05, 06, 08, 11, 12, 13, 14, 16</t>
  </si>
  <si>
    <t>INCREMENTO DEL PRECIO POR CADA 25 CMS. DE PROFUNDIDAD DEL POZO (V.C. 1985)</t>
  </si>
  <si>
    <t>SUM. E INT. DE BROCALES Y TAPAS</t>
  </si>
  <si>
    <t>371 VIVIENDAS</t>
  </si>
  <si>
    <t>VOL. TOTAL</t>
  </si>
  <si>
    <t>40% EXC. A MAQUINA</t>
  </si>
  <si>
    <t>60% EXC. A MAQUINA</t>
  </si>
  <si>
    <t>RUPTURA DE PAVIMENTO DE CONCRETO A MANO, INCLUYE: CARGA DEL MATERIAL A CAMION Y ACARREO EN 1ER. KM. INCLUYE TODO LO NECESARIO PARA SU CORRECTA EJECUCIÓN.</t>
  </si>
  <si>
    <t>CONCRETO F'c=200 KG/CM2 FABRICADO EN OBRA PARA CIMENTACIÓN, EL TAMAÑO MÁXIMO DEL AGREGADO SERÁ DE (3/4") Y SU CALIDAD Y BANCO DE PROCEDENCIA, DEBERÁN SER APROBADOS POR LA SECRETARIA, INCLUYE: ACARREO, MUESTREO, COLADO, VIBRADO, CURADO, DESPERDICIO, REVOLVEDORA Y TODO LO NECESARIO PARA SU CORRECTA EJECUCION.</t>
  </si>
</sst>
</file>

<file path=xl/styles.xml><?xml version="1.0" encoding="utf-8"?>
<styleSheet xmlns="http://schemas.openxmlformats.org/spreadsheetml/2006/main">
  <numFmts count="14">
    <numFmt numFmtId="44" formatCode="_-&quot;$&quot;* #,##0.00_-;\-&quot;$&quot;* #,##0.00_-;_-&quot;$&quot;* &quot;-&quot;??_-;_-@_-"/>
    <numFmt numFmtId="43" formatCode="_-* #,##0.00_-;\-* #,##0.00_-;_-* &quot;-&quot;??_-;_-@_-"/>
    <numFmt numFmtId="175" formatCode="&quot;$&quot;#,##0\ ;\(&quot;$&quot;#,##0\)"/>
    <numFmt numFmtId="176" formatCode="_-[$€-2]* #,##0.00_-;\-[$€-2]* #,##0.00_-;_-[$€-2]* &quot;-&quot;??_-"/>
    <numFmt numFmtId="177" formatCode="[$$-80A]#,##0.00"/>
    <numFmt numFmtId="178" formatCode="0.000"/>
    <numFmt numFmtId="179" formatCode="\$#.00"/>
    <numFmt numFmtId="181" formatCode="#."/>
    <numFmt numFmtId="182" formatCode="0\+000.00"/>
    <numFmt numFmtId="183" formatCode="_-[$€]* #,##0.00_-;\-[$€]* #,##0.00_-;_-[$€]* &quot;-&quot;??_-;_-@_-"/>
    <numFmt numFmtId="187" formatCode="0.00\ &quot;km&quot;"/>
    <numFmt numFmtId="201" formatCode="0.0000"/>
    <numFmt numFmtId="204" formatCode="00"/>
    <numFmt numFmtId="205" formatCode="#,##0.0000"/>
  </numFmts>
  <fonts count="4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9"/>
      <name val="AvantGarde Bk BT"/>
      <family val="2"/>
    </font>
    <font>
      <b/>
      <sz val="10"/>
      <name val="AvantGarde Bk BT"/>
      <family val="2"/>
    </font>
    <font>
      <sz val="9"/>
      <name val="AvantGarde Bk BT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Verdana"/>
      <family val="2"/>
    </font>
    <font>
      <sz val="8"/>
      <color indexed="9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4">
    <xf numFmtId="0" fontId="0" fillId="0" borderId="0"/>
    <xf numFmtId="0" applyNumberFormat="0" fontId="11" applyFont="1" fillId="0" applyFill="0" borderId="0" applyBorder="0" applyProtection="0" applyAlignment="0"/>
    <xf numFmtId="0" applyNumberFormat="0" fontId="12" applyFont="1" fillId="0" applyFill="0" borderId="0" applyBorder="0" applyProtection="0" applyAlignment="0"/>
    <xf numFmtId="0" fontId="19" applyFont="1" fillId="0" borderId="0" applyProtection="1">
      <protection locked="0"/>
    </xf>
    <xf numFmtId="181" applyNumberFormat="1" fontId="20" applyFont="1" fillId="0" borderId="0" applyProtection="1">
      <protection locked="0"/>
    </xf>
    <xf numFmtId="181" applyNumberFormat="1" fontId="20" applyFont="1" fillId="0" borderId="0" applyProtection="1">
      <protection locked="0"/>
    </xf>
    <xf numFmtId="176" applyNumberFormat="1" fontId="1" applyFont="0" fillId="0" applyFill="0" borderId="0" applyBorder="0" applyProtection="0" applyAlignment="0"/>
    <xf numFmtId="0" fontId="15" applyFont="0" fillId="0" applyFill="0" borderId="0" applyBorder="0" applyProtection="0" applyAlignment="0"/>
    <xf numFmtId="183" applyNumberFormat="1" fontId="15" applyFont="0" fillId="0" applyFill="0" borderId="0" applyBorder="0" applyProtection="0" applyAlignment="0"/>
    <xf numFmtId="0" fontId="13" applyFont="0" fillId="0" applyFill="0" borderId="0" applyBorder="0" applyProtection="0" applyAlignment="0"/>
    <xf numFmtId="2" applyNumberFormat="1" fontId="13" applyFont="0" fillId="0" applyFill="0" borderId="0" applyBorder="0" applyProtection="0" applyAlignment="0"/>
    <xf numFmtId="4" applyNumberFormat="1" fontId="19" applyFont="1" fillId="0" borderId="0" applyProtection="1">
      <protection locked="0"/>
    </xf>
    <xf numFmtId="43" applyNumberFormat="1" fontId="15" applyFont="0" fillId="0" applyFill="0" borderId="0" applyBorder="0" applyProtection="0" applyAlignment="0"/>
    <xf numFmtId="43" applyNumberFormat="1" fontId="15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44" applyNumberFormat="1" fontId="15" applyFont="0" fillId="0" applyFill="0" borderId="0" applyBorder="0" applyProtection="0" applyAlignment="0"/>
    <xf numFmtId="44" applyNumberFormat="1" fontId="15" applyFont="0" fillId="0" applyFill="0" borderId="0" applyBorder="0" applyProtection="0" applyAlignment="0"/>
    <xf numFmtId="179" applyNumberFormat="1" fontId="19" applyFont="1" fillId="0" borderId="0" applyProtection="1">
      <protection locked="0"/>
    </xf>
    <xf numFmtId="175" applyNumberFormat="1" fontId="13" applyFont="0" fillId="0" applyFill="0" borderId="0" applyBorder="0" applyProtection="0" applyAlignment="0"/>
    <xf numFmtId="0" fontId="15" applyFont="1" fillId="0" borderId="0"/>
    <xf numFmtId="0" fontId="15" applyFont="1" fillId="0" borderId="0"/>
    <xf numFmtId="0" fontId="15" applyFont="1" fillId="0" borderId="0"/>
    <xf numFmtId="0" fontId="15" applyFont="1" fillId="0" borderId="0"/>
    <xf numFmtId="0" fontId="13" applyFont="1" fillId="0" borderId="0"/>
    <xf numFmtId="0" fontId="13" applyFont="1" fillId="0" borderId="0"/>
    <xf numFmtId="0" fontId="15" applyFont="1" fillId="0" borderId="0"/>
    <xf numFmtId="0" fontId="34" applyFont="1" fillId="0" borderId="0"/>
    <xf numFmtId="0" fontId="15" applyFont="1" fillId="0" borderId="0"/>
    <xf numFmtId="0" fontId="15" applyFont="1" fillId="0" borderId="0"/>
    <xf numFmtId="0" fontId="15" applyFont="1" fillId="0" borderId="0"/>
    <xf numFmtId="9" applyNumberFormat="1" fontId="1" applyFont="0" fillId="0" applyFill="0" borderId="0" applyBorder="0" applyProtection="0" applyAlignment="0"/>
    <xf numFmtId="9" applyNumberFormat="1" fontId="15" applyFont="0" fillId="0" applyFill="0" borderId="0" applyBorder="0" applyProtection="0" applyAlignment="0"/>
    <xf numFmtId="3" applyNumberFormat="1" fontId="13" applyFont="0" fillId="0" applyFill="0" borderId="0" applyBorder="0" applyProtection="0" applyAlignment="0"/>
    <xf numFmtId="0" applyNumberFormat="0" fontId="13" applyFont="0" fillId="0" applyFill="0" borderId="1" applyBorder="1" applyProtection="0" applyAlignment="0"/>
  </cellStyleXfs>
  <cellXfs count="429">
    <xf numFmtId="0" fontId="0" fillId="0" borderId="0" xfId="0"/>
    <xf numFmtId="0" fontId="14" applyFont="1" fillId="0" applyFill="1" borderId="0" applyBorder="1" xfId="0" applyAlignment="1">
      <alignment horizontal="center"/>
    </xf>
    <xf numFmtId="0" fontId="14" applyFont="1" fillId="0" applyFill="1" borderId="0" xfId="0"/>
    <xf numFmtId="0" fontId="14" applyFont="1" fillId="0" applyFill="1" borderId="0" applyBorder="1" xfId="0"/>
    <xf numFmtId="4" applyNumberFormat="1" fontId="14" applyFont="1" fillId="0" applyFill="1" borderId="0" xfId="0" applyAlignment="1">
      <alignment horizontal="center"/>
    </xf>
    <xf numFmtId="177" applyNumberFormat="1" fontId="14" applyFont="1" fillId="0" applyFill="1" borderId="0" xfId="0"/>
    <xf numFmtId="177" applyNumberFormat="1" fontId="16" applyFont="1" fillId="0" applyFill="1" borderId="0" xfId="0" applyAlignment="1">
      <alignment horizontal="right" shrinkToFit="1"/>
    </xf>
    <xf numFmtId="0" fontId="0" fillId="0" borderId="0" xfId="0" applyAlignment="1">
      <alignment horizontal="center"/>
    </xf>
    <xf numFmtId="0" fontId="15" applyFont="1" fillId="0" borderId="2" applyBorder="1" xfId="20"/>
    <xf numFmtId="0" fontId="3" applyFont="1" fillId="0" borderId="2" applyBorder="1" xfId="20" applyAlignment="1">
      <alignment horizontal="center"/>
    </xf>
    <xf numFmtId="0" fontId="24" applyFont="1" fillId="0" applyFill="1" borderId="3" applyBorder="1" xfId="29" applyAlignment="1">
      <alignment horizontal="center" vertical="center"/>
    </xf>
    <xf numFmtId="0" fontId="24" applyFont="1" fillId="0" applyFill="1" borderId="3" applyBorder="1" xfId="29" applyAlignment="1">
      <alignment horizontal="justify" vertical="center" wrapText="1"/>
    </xf>
    <xf numFmtId="0" fontId="15" applyFont="1" fillId="0" borderId="0" xfId="20"/>
    <xf numFmtId="0" fontId="8" applyFont="1" fillId="0" borderId="0" applyBorder="1" xfId="20" applyAlignment="1">
      <alignment horizontal="left"/>
    </xf>
    <xf numFmtId="2" applyNumberFormat="1" fontId="8" applyFont="1" fillId="0" borderId="0" applyBorder="1" xfId="20" applyAlignment="1">
      <alignment horizontal="left"/>
    </xf>
    <xf numFmtId="0" fontId="3" applyFont="1" fillId="0" borderId="4" applyBorder="1" xfId="20" applyAlignment="1"/>
    <xf numFmtId="0" fontId="8" applyFont="1" fillId="0" borderId="4" applyBorder="1" xfId="20" applyAlignment="1">
      <alignment horizontal="left"/>
    </xf>
    <xf numFmtId="0" applyNumberFormat="1" fontId="8" applyFont="1" fillId="0" applyFill="1" borderId="2" applyBorder="1" xfId="20" applyAlignment="1">
      <alignment vertical="top"/>
    </xf>
    <xf numFmtId="0" applyNumberFormat="1" fontId="8" applyFont="1" fillId="0" applyFill="1" borderId="2" applyBorder="1" xfId="20" applyAlignment="1">
      <alignment horizontal="justify" vertical="top"/>
    </xf>
    <xf numFmtId="0" fontId="9" applyFont="1" fillId="0" applyFill="1" borderId="2" applyBorder="1" xfId="20" applyAlignment="1">
      <alignment horizontal="center" vertical="justify" wrapText="1" shrinkToFit="1"/>
    </xf>
    <xf numFmtId="49" applyNumberFormat="1" fontId="9" applyFont="1" fillId="0" applyFill="1" borderId="2" applyBorder="1" xfId="20" applyAlignment="1">
      <alignment horizontal="center"/>
    </xf>
    <xf numFmtId="182" applyNumberFormat="1" fontId="9" applyFont="1" fillId="0" applyFill="1" borderId="2" applyBorder="1" xfId="27" applyAlignment="1">
      <alignment horizontal="center"/>
    </xf>
    <xf numFmtId="2" applyNumberFormat="1" fontId="8" applyFont="1" fillId="0" applyFill="1" borderId="5" applyBorder="1" xfId="27" applyAlignment="1">
      <alignment horizontal="right"/>
    </xf>
    <xf numFmtId="2" applyNumberFormat="1" fontId="8" applyFont="1" fillId="0" applyFill="1" borderId="6" applyBorder="1" xfId="27" applyAlignment="1">
      <alignment horizontal="center"/>
    </xf>
    <xf numFmtId="4" applyNumberFormat="1" fontId="9" applyFont="1" fillId="0" applyFill="1" borderId="2" applyBorder="1" xfId="27" applyAlignment="1">
      <alignment horizontal="center"/>
    </xf>
    <xf numFmtId="0" fontId="9" applyFont="1" fillId="0" borderId="7" applyBorder="1" xfId="20"/>
    <xf numFmtId="4" applyNumberFormat="1" fontId="9" applyFont="1" fillId="0" applyFill="1" borderId="7" applyBorder="1" xfId="27" applyAlignment="1">
      <alignment horizontal="center"/>
    </xf>
    <xf numFmtId="2" applyNumberFormat="1" fontId="8" applyFont="1" fillId="0" applyFill="1" borderId="5" applyBorder="1" xfId="27" applyAlignment="1">
      <alignment horizontal="center"/>
    </xf>
    <xf numFmtId="4" applyNumberFormat="1" fontId="8" applyFont="1" fillId="0" applyFill="1" borderId="2" applyBorder="1" xfId="27" applyAlignment="1">
      <alignment horizontal="justify" vertical="justify" wrapText="1"/>
    </xf>
    <xf numFmtId="0" applyNumberFormat="1" fontId="9" applyFont="1" fillId="0" applyFill="1" borderId="2" applyBorder="1" xfId="20" applyAlignment="1">
      <alignment vertical="top"/>
    </xf>
    <xf numFmtId="182" applyNumberFormat="1" fontId="15" applyFont="1" fillId="0" applyFill="1" borderId="2" applyBorder="1" xfId="27" applyAlignment="1">
      <alignment horizontal="center"/>
    </xf>
    <xf numFmtId="0" applyNumberFormat="1" fontId="9" applyFont="1" fillId="0" applyFill="1" borderId="3" applyBorder="1" xfId="20" applyAlignment="1">
      <alignment horizontal="justify" vertical="justify"/>
    </xf>
    <xf numFmtId="2" applyNumberFormat="1" fontId="18" applyFont="1" fillId="0" applyFill="1" borderId="8" applyBorder="1" xfId="12"/>
    <xf numFmtId="2" applyNumberFormat="1" fontId="15" applyFont="1" fillId="0" applyFill="1" borderId="8" applyBorder="1" xfId="20"/>
    <xf numFmtId="9" applyNumberFormat="1" fontId="18" applyFont="1" fillId="0" applyFill="1" borderId="8" applyBorder="1" xfId="31" applyAlignment="1">
      <alignment horizontal="center"/>
    </xf>
    <xf numFmtId="2" applyNumberFormat="1" fontId="8" applyFont="1" fillId="0" applyFill="1" borderId="2" applyBorder="1" xfId="27" applyAlignment="1">
      <alignment horizontal="center"/>
    </xf>
    <xf numFmtId="0" fontId="9" applyFont="1" fillId="0" borderId="2" applyBorder="1" xfId="20"/>
    <xf numFmtId="0" applyNumberFormat="1" fontId="9" applyFont="1" fillId="0" applyFill="1" borderId="9" applyBorder="1" xfId="20" applyAlignment="1">
      <alignment horizontal="justify" vertical="justify"/>
    </xf>
    <xf numFmtId="0" applyNumberFormat="1" fontId="9" applyFont="1" fillId="0" applyFill="1" borderId="2" applyBorder="1" xfId="20" applyAlignment="1">
      <alignment horizontal="justify" vertical="top"/>
    </xf>
    <xf numFmtId="0" fontId="6" applyFont="1" fillId="0" applyFill="1" borderId="0" applyBorder="1" xfId="27" applyAlignment="1">
      <alignment horizontal="center"/>
    </xf>
    <xf numFmtId="4" applyNumberFormat="1" fontId="6" applyFont="1" fillId="0" applyFill="1" borderId="0" applyBorder="1" xfId="27" applyAlignment="1">
      <alignment horizontal="left" wrapText="1"/>
    </xf>
    <xf numFmtId="0" fontId="9" applyFont="1" fillId="0" borderId="0" applyBorder="1" xfId="20" applyAlignment="1">
      <alignment horizontal="center"/>
    </xf>
    <xf numFmtId="0" fontId="3" applyFont="1" fillId="0" borderId="0" applyBorder="1" xfId="20"/>
    <xf numFmtId="2" applyNumberFormat="1" fontId="6" applyFont="1" fillId="0" borderId="0" applyBorder="1" xfId="20"/>
    <xf numFmtId="0" fontId="6" applyFont="1" fillId="0" borderId="0" applyBorder="1" xfId="20" applyAlignment="1">
      <alignment horizontal="center"/>
    </xf>
    <xf numFmtId="2" applyNumberFormat="1" fontId="9" applyFont="1" fillId="0" borderId="0" applyBorder="1" xfId="20" applyAlignment="1">
      <alignment horizontal="center"/>
    </xf>
    <xf numFmtId="0" fontId="6" applyFont="1" fillId="0" borderId="0" applyBorder="1" xfId="20"/>
    <xf numFmtId="2" applyNumberFormat="1" fontId="4" applyFont="1" fillId="0" applyFill="1" borderId="0" applyBorder="1" xfId="20"/>
    <xf numFmtId="2" applyNumberFormat="1" fontId="4" applyFont="1" fillId="0" borderId="0" applyBorder="1" xfId="20" applyAlignment="1">
      <alignment horizontal="justify" vertical="justify" wrapText="1"/>
    </xf>
    <xf numFmtId="2" applyNumberFormat="1" fontId="18" applyFont="1" fillId="0" applyFill="1" borderId="2" applyBorder="1" xfId="12"/>
    <xf numFmtId="182" applyNumberFormat="1" fontId="15" applyFont="1" fillId="0" applyFill="1" borderId="2" applyBorder="1" xfId="27" applyAlignment="1">
      <alignment horizontal="left"/>
    </xf>
    <xf numFmtId="43" applyNumberFormat="1" fontId="18" applyFont="1" fillId="0" applyFill="1" borderId="2" applyBorder="1" xfId="12"/>
    <xf numFmtId="2" applyNumberFormat="1" fontId="18" applyFont="1" fillId="0" applyFill="1" borderId="2" applyBorder="1" xfId="12" applyAlignment="1">
      <alignment horizontal="center"/>
    </xf>
    <xf numFmtId="2" applyNumberFormat="1" fontId="23" applyFont="1" fillId="0" applyFill="1" borderId="2" applyBorder="1" xfId="12" applyAlignment="1">
      <alignment horizontal="center"/>
    </xf>
    <xf numFmtId="0" fontId="15" applyFont="1" fillId="0" applyFill="1" borderId="2" applyBorder="1" xfId="20"/>
    <xf numFmtId="4" applyNumberFormat="1" fontId="18" applyFont="1" fillId="0" applyFill="1" borderId="2" applyBorder="1" xfId="12" applyAlignment="1">
      <alignment horizontal="center"/>
    </xf>
    <xf numFmtId="0" applyNumberFormat="1" fontId="9" applyFont="1" fillId="0" applyFill="1" borderId="6" applyBorder="1" xfId="20" applyAlignment="1">
      <alignment vertical="top"/>
    </xf>
    <xf numFmtId="0" fontId="9" applyFont="1" fillId="0" applyFill="1" borderId="6" applyBorder="1" xfId="20" applyAlignment="1">
      <alignment horizontal="center" vertical="justify" wrapText="1" shrinkToFit="1"/>
    </xf>
    <xf numFmtId="0" applyNumberFormat="1" fontId="9" applyFont="1" fillId="0" applyFill="1" borderId="2" applyBorder="1" xfId="20" applyAlignment="1">
      <alignment vertical="justify"/>
    </xf>
    <xf numFmtId="178" applyNumberFormat="1" fontId="18" applyFont="1" fillId="0" applyFill="1" borderId="2" applyBorder="1" xfId="12"/>
    <xf numFmtId="4" applyNumberFormat="1" fontId="23" applyFont="1" fillId="0" applyFill="1" borderId="2" applyBorder="1" xfId="12" applyAlignment="1">
      <alignment horizontal="center"/>
    </xf>
    <xf numFmtId="49" applyNumberFormat="1" fontId="9" applyFont="1" fillId="0" applyFill="1" borderId="6" applyBorder="1" xfId="20" applyAlignment="1">
      <alignment horizontal="center"/>
    </xf>
    <xf numFmtId="182" applyNumberFormat="1" fontId="9" applyFont="1" fillId="0" applyFill="1" borderId="6" applyBorder="1" xfId="27" applyAlignment="1">
      <alignment horizontal="center"/>
    </xf>
    <xf numFmtId="2" applyNumberFormat="1" fontId="8" applyFont="1" fillId="0" applyFill="1" borderId="10" applyBorder="1" xfId="27" applyAlignment="1">
      <alignment horizontal="right"/>
    </xf>
    <xf numFmtId="4" applyNumberFormat="1" fontId="9" applyFont="1" fillId="0" applyFill="1" borderId="6" applyBorder="1" xfId="27" applyAlignment="1">
      <alignment horizontal="center"/>
    </xf>
    <xf numFmtId="0" fontId="9" applyFont="1" fillId="0" borderId="11" applyBorder="1" xfId="20"/>
    <xf numFmtId="4" applyNumberFormat="1" fontId="9" applyFont="1" fillId="0" applyFill="1" borderId="11" applyBorder="1" xfId="27" applyAlignment="1">
      <alignment horizontal="center"/>
    </xf>
    <xf numFmtId="0" applyNumberFormat="1" fontId="9" applyFont="1" fillId="0" applyFill="1" borderId="2" applyBorder="1" xfId="20" applyAlignment="1">
      <alignment horizontal="justify" vertical="justify"/>
    </xf>
    <xf numFmtId="49" applyNumberFormat="1" fontId="9" applyFont="1" fillId="0" applyFill="1" borderId="2" applyBorder="1" xfId="20" applyAlignment="1">
      <alignment horizontal="left"/>
    </xf>
    <xf numFmtId="4" applyNumberFormat="1" fontId="8" applyFont="1" fillId="0" applyFill="1" borderId="6" applyBorder="1" xfId="27" applyAlignment="1">
      <alignment horizontal="justify" vertical="justify" wrapText="1"/>
    </xf>
    <xf numFmtId="2" applyNumberFormat="1" fontId="8" applyFont="1" fillId="0" applyFill="1" borderId="10" applyBorder="1" xfId="27" applyAlignment="1">
      <alignment horizontal="center"/>
    </xf>
    <xf numFmtId="2" applyNumberFormat="1" fontId="8" applyFont="1" fillId="0" applyFill="1" borderId="2" applyBorder="1" xfId="27" applyAlignment="1">
      <alignment horizontal="right"/>
    </xf>
    <xf numFmtId="2" applyNumberFormat="1" fontId="15" applyFont="1" fillId="0" borderId="2" applyBorder="1" xfId="20"/>
    <xf numFmtId="0" applyNumberFormat="1" fontId="9" applyFont="1" fillId="0" applyFill="1" borderId="9" applyBorder="1" xfId="20" applyAlignment="1">
      <alignment vertical="top"/>
    </xf>
    <xf numFmtId="0" fontId="9" applyFont="1" fillId="0" applyFill="1" borderId="9" applyBorder="1" xfId="20" applyAlignment="1">
      <alignment horizontal="center" vertical="justify" wrapText="1" shrinkToFit="1"/>
    </xf>
    <xf numFmtId="49" applyNumberFormat="1" fontId="9" applyFont="1" fillId="0" applyFill="1" borderId="9" applyBorder="1" xfId="20" applyAlignment="1">
      <alignment horizontal="center"/>
    </xf>
    <xf numFmtId="182" applyNumberFormat="1" fontId="15" applyFont="1" fillId="0" applyFill="1" borderId="9" applyBorder="1" xfId="27" applyAlignment="1">
      <alignment horizontal="center"/>
    </xf>
    <xf numFmtId="2" applyNumberFormat="1" fontId="8" applyFont="1" fillId="0" applyFill="1" borderId="12" applyBorder="1" xfId="27" applyAlignment="1">
      <alignment horizontal="right"/>
    </xf>
    <xf numFmtId="4" applyNumberFormat="1" fontId="9" applyFont="1" fillId="0" applyFill="1" borderId="9" applyBorder="1" xfId="27" applyAlignment="1">
      <alignment horizontal="center"/>
    </xf>
    <xf numFmtId="0" fontId="9" applyFont="1" fillId="0" borderId="13" applyBorder="1" xfId="20"/>
    <xf numFmtId="4" applyNumberFormat="1" fontId="9" applyFont="1" fillId="0" applyFill="1" borderId="13" applyBorder="1" xfId="27" applyAlignment="1">
      <alignment horizontal="center"/>
    </xf>
    <xf numFmtId="2" applyNumberFormat="1" fontId="8" applyFont="1" fillId="0" applyFill="1" borderId="12" applyBorder="1" xfId="27" applyAlignment="1">
      <alignment horizontal="center"/>
    </xf>
    <xf numFmtId="4" applyNumberFormat="1" fontId="8" applyFont="1" fillId="0" applyFill="1" borderId="9" applyBorder="1" xfId="27" applyAlignment="1">
      <alignment horizontal="justify" vertical="justify" wrapText="1"/>
    </xf>
    <xf numFmtId="2" applyNumberFormat="1" fontId="9" applyFont="1" fillId="0" applyFill="1" borderId="6" applyBorder="1" xfId="27" applyAlignment="1">
      <alignment horizontal="center"/>
    </xf>
    <xf numFmtId="2" applyNumberFormat="1" fontId="9" applyFont="1" fillId="0" applyFill="1" borderId="5" applyBorder="1" xfId="27" applyAlignment="1">
      <alignment horizontal="center"/>
    </xf>
    <xf numFmtId="2" applyNumberFormat="1" fontId="15" applyFont="1" fillId="0" borderId="0" xfId="20"/>
    <xf numFmtId="0" fontId="9" applyFont="1" fillId="0" applyFill="1" borderId="2" applyBorder="1" xfId="0" applyAlignment="1">
      <alignment horizontal="center" vertical="center" shrinkToFit="1"/>
    </xf>
    <xf numFmtId="0" fontId="25" applyFont="1" fillId="0" applyFill="1" borderId="2" applyBorder="1" xfId="29" applyAlignment="1">
      <alignment horizontal="center" vertical="top" wrapText="1"/>
    </xf>
    <xf numFmtId="0" fontId="24" applyFont="1" fillId="0" applyFill="1" borderId="2" applyBorder="1" xfId="29" applyAlignment="1">
      <alignment horizontal="center" vertical="center"/>
    </xf>
    <xf numFmtId="0" fontId="24" applyFont="1" fillId="0" applyFill="1" borderId="2" applyBorder="1" xfId="29" applyAlignment="1">
      <alignment horizontal="justify" vertical="center" wrapText="1"/>
    </xf>
    <xf numFmtId="0" fontId="26" applyFont="1" fillId="0" applyFill="1" borderId="2" applyBorder="1" xfId="29" applyAlignment="1">
      <alignment horizontal="center" vertical="center"/>
    </xf>
    <xf numFmtId="0" fontId="9" applyFont="1" fillId="0" applyFill="1" borderId="2" applyBorder="1" xfId="0" applyAlignment="1">
      <alignment horizontal="center" vertical="center"/>
    </xf>
    <xf numFmtId="0" fontId="8" applyFont="1" fillId="0" applyFill="1" borderId="2" applyBorder="1" xfId="0" applyAlignment="1">
      <alignment horizontal="center" vertical="top"/>
    </xf>
    <xf numFmtId="0" fontId="8" applyFont="1" fillId="0" applyFill="1" borderId="2" applyBorder="1" xfId="0" applyAlignment="1">
      <alignment horizontal="justify" vertical="top" wrapText="1"/>
    </xf>
    <xf numFmtId="0" fontId="24" applyFont="1" fillId="0" applyFill="1" borderId="2" applyBorder="1" xfId="29" applyAlignment="1">
      <alignment horizontal="justify" vertical="top" wrapText="1"/>
    </xf>
    <xf numFmtId="0" fontId="9" applyFont="1" fillId="0" applyFill="1" borderId="2" applyBorder="1" xfId="20" applyAlignment="1">
      <alignment horizontal="center" vertical="top" wrapText="1" shrinkToFit="1"/>
    </xf>
    <xf numFmtId="2" applyNumberFormat="1" fontId="15" applyFont="1" fillId="0" applyFill="1" borderId="2" applyBorder="1" xfId="20"/>
    <xf numFmtId="9" applyNumberFormat="1" fontId="18" applyFont="1" fillId="0" applyFill="1" borderId="2" applyBorder="1" xfId="31" applyAlignment="1">
      <alignment horizontal="center"/>
    </xf>
    <xf numFmtId="0" applyNumberFormat="1" fontId="9" applyFont="1" fillId="0" applyFill="1" borderId="3" applyBorder="1" xfId="20" applyAlignment="1">
      <alignment horizontal="justify" vertical="top"/>
    </xf>
    <xf numFmtId="0" applyNumberFormat="1" fontId="8" applyFont="1" fillId="0" applyFill="1" borderId="2" applyBorder="1" xfId="20" applyAlignment="1">
      <alignment horizontal="center" vertical="top"/>
    </xf>
    <xf numFmtId="49" applyNumberFormat="1" fontId="35" applyFont="1" fillId="0" applyFill="1" borderId="2" applyBorder="1" xfId="20" applyAlignment="1">
      <alignment horizontal="left"/>
    </xf>
    <xf numFmtId="0" applyNumberFormat="1" fontId="8" applyFont="1" fillId="0" applyFill="1" borderId="3" applyBorder="1" xfId="20" applyAlignment="1">
      <alignment horizontal="justify" vertical="justify"/>
    </xf>
    <xf numFmtId="0" applyNumberFormat="1" fontId="8" applyFont="1" fillId="0" applyFill="1" borderId="2" applyBorder="1" xfId="20" applyAlignment="1">
      <alignment horizontal="left" vertical="justify"/>
    </xf>
    <xf numFmtId="11" applyNumberFormat="1" fontId="8" applyFont="1" fillId="0" applyFill="1" borderId="2" applyBorder="1" xfId="20" applyAlignment="1">
      <alignment horizontal="justify" vertical="justify"/>
    </xf>
    <xf numFmtId="2" applyNumberFormat="1" fontId="9" applyFont="1" fillId="0" applyFill="1" borderId="10" applyBorder="1" xfId="27" applyAlignment="1">
      <alignment horizontal="center"/>
    </xf>
    <xf numFmtId="11" applyNumberFormat="1" fontId="8" applyFont="1" fillId="0" applyFill="1" borderId="6" applyBorder="1" xfId="20" applyAlignment="1">
      <alignment horizontal="justify" vertical="top"/>
    </xf>
    <xf numFmtId="0" fontId="9" applyFont="1" fillId="0" applyFill="1" borderId="2" applyBorder="1" xfId="0" applyAlignment="1">
      <alignment horizontal="justify" vertical="top" wrapText="1"/>
    </xf>
    <xf numFmtId="4" applyNumberFormat="1" fontId="9" applyFont="1" fillId="0" borderId="2" applyBorder="1" xfId="20"/>
    <xf numFmtId="2" applyNumberFormat="1" fontId="9" applyFont="1" fillId="0" applyFill="1" borderId="2" applyBorder="1" xfId="27" applyAlignment="1">
      <alignment horizontal="center"/>
    </xf>
    <xf numFmtId="187" applyNumberFormat="1" fontId="9" applyFont="1" fillId="0" borderId="2" applyBorder="1" xfId="20"/>
    <xf numFmtId="2" applyNumberFormat="1" fontId="9" applyFont="1" fillId="0" applyFill="1" borderId="14" applyBorder="1" xfId="27" applyAlignment="1">
      <alignment horizontal="center"/>
    </xf>
    <xf numFmtId="49" applyNumberFormat="1" fontId="9" applyFont="1" fillId="0" applyFill="1" borderId="5" applyBorder="1" xfId="20" applyAlignment="1"/>
    <xf numFmtId="49" applyNumberFormat="1" fontId="9" applyFont="1" fillId="0" applyFill="1" borderId="15" applyBorder="1" xfId="20" applyAlignment="1"/>
    <xf numFmtId="49" applyNumberFormat="1" fontId="9" applyFont="1" fillId="0" applyFill="1" borderId="7" applyBorder="1" xfId="20" applyAlignment="1"/>
    <xf numFmtId="4" applyNumberFormat="1" fontId="9" applyFont="1" fillId="0" borderId="7" applyBorder="1" xfId="20"/>
    <xf numFmtId="0" fontId="15" applyFont="1" fillId="0" borderId="15" applyBorder="1" xfId="20"/>
    <xf numFmtId="0" fontId="9" applyFont="1" fillId="0" applyFill="1" borderId="5" applyBorder="1" xfId="20" applyAlignment="1">
      <alignment horizontal="center" vertical="justify" wrapText="1" shrinkToFit="1"/>
    </xf>
    <xf numFmtId="0" fontId="3" applyFont="1" fillId="0" applyFill="1" borderId="0" applyBorder="1" xfId="0" applyAlignment="1">
      <alignment horizontal="left"/>
    </xf>
    <xf numFmtId="0" fontId="3" applyFont="1" fillId="0" applyFill="1" borderId="0" applyBorder="1" xfId="0"/>
    <xf numFmtId="0" fontId="27" applyFont="1" fillId="0" borderId="0" applyBorder="1" xfId="29"/>
    <xf numFmtId="4" applyNumberFormat="1" fontId="8" applyFont="1" fillId="0" applyFill="1" borderId="2" applyBorder="1" xfId="27" applyAlignment="1">
      <alignment horizontal="center"/>
    </xf>
    <xf numFmtId="0" fontId="4" applyFont="1" fillId="0" borderId="0" xfId="0" applyAlignment="1">
      <alignment horizontal="center"/>
    </xf>
    <xf numFmtId="0" fontId="10" applyFont="1" fillId="0" applyFill="1" borderId="0" applyBorder="1" xfId="0" applyAlignment="1">
      <alignment horizontal="center" vertical="center" wrapText="1"/>
    </xf>
    <xf numFmtId="0" fontId="22" applyFont="1" fillId="0" applyFill="1" borderId="0" applyBorder="1" xfId="0" applyAlignment="1">
      <alignment vertical="center" wrapText="1"/>
    </xf>
    <xf numFmtId="0" fontId="3" applyFont="1" fillId="0" applyFill="1" borderId="0" applyBorder="1" xfId="0" applyAlignment="1">
      <alignment vertical="center" wrapText="1"/>
    </xf>
    <xf numFmtId="0" fontId="28" applyFont="1" fillId="0" borderId="0" applyBorder="1" xfId="29" applyAlignment="1">
      <alignment horizontal="center"/>
    </xf>
    <xf numFmtId="0" fontId="4" applyFont="1" fillId="0" borderId="0" applyBorder="1" xfId="29" applyAlignment="1">
      <alignment horizontal="center"/>
    </xf>
    <xf numFmtId="1" applyNumberFormat="1" fontId="4" applyFont="1" fillId="0" borderId="0" xfId="0" applyAlignment="1">
      <alignment horizontal="center" vertical="center"/>
    </xf>
    <xf numFmtId="1" applyNumberFormat="1" fontId="4" applyFont="1" fillId="0" borderId="0" xfId="0" applyAlignment="1">
      <alignment horizontal="center"/>
    </xf>
    <xf numFmtId="1" applyNumberFormat="1" fontId="4" applyFont="1" fillId="0" borderId="0" xfId="0"/>
    <xf numFmtId="4" applyNumberFormat="1" fontId="0" fillId="0" borderId="0" xfId="0" applyAlignment="1">
      <alignment horizontal="center"/>
    </xf>
    <xf numFmtId="0" fontId="7" applyFont="1" fillId="0" borderId="4" applyBorder="1" xfId="20" applyAlignment="1"/>
    <xf numFmtId="0" fontId="7" applyFont="1" fillId="0" borderId="4" applyBorder="1" xfId="20" applyAlignment="1">
      <alignment horizontal="left"/>
    </xf>
    <xf numFmtId="0" fontId="4" applyFont="1" fillId="0" borderId="0" applyBorder="1" xfId="20" applyAlignment="1"/>
    <xf numFmtId="4" applyNumberFormat="1" fontId="7" applyFont="1" fillId="0" applyFill="1" borderId="2" applyBorder="1" xfId="27" applyAlignment="1">
      <alignment horizontal="center"/>
    </xf>
    <xf numFmtId="0" applyNumberFormat="1" fontId="9" applyFont="1" fillId="0" applyFill="1" borderId="3" applyBorder="1" xfId="20" applyAlignment="1">
      <alignment horizontal="justify" vertical="top" wrapText="1"/>
    </xf>
    <xf numFmtId="0" fontId="26" applyFont="1" fillId="0" applyFill="1" borderId="2" applyBorder="1" xfId="0" applyAlignment="1">
      <alignment horizontal="justify" vertical="top" wrapText="1"/>
    </xf>
    <xf numFmtId="49" applyNumberFormat="1" fontId="9" applyFont="1" fillId="0" applyFill="1" borderId="5" applyBorder="1" xfId="20" applyAlignment="1">
      <alignment horizontal="center"/>
    </xf>
    <xf numFmtId="2" applyNumberFormat="1" fontId="5" applyFont="1" fillId="0" applyFill="1" borderId="2" applyBorder="1" xfId="27" applyAlignment="1">
      <alignment horizontal="center"/>
    </xf>
    <xf numFmtId="0" fontId="26" applyFont="1" fillId="0" applyFill="1" borderId="2" applyBorder="1" xfId="29" applyAlignment="1">
      <alignment horizontal="justify" vertical="top" wrapText="1"/>
    </xf>
    <xf numFmtId="4" applyNumberFormat="1" fontId="7" applyFont="1" fillId="0" applyFill="1" borderId="2" applyBorder="1" xfId="27" applyAlignment="1">
      <alignment horizontal="justify" vertical="justify" wrapText="1"/>
    </xf>
    <xf numFmtId="0" fontId="26" applyFont="1" fillId="0" applyFill="1" borderId="9" applyBorder="1" xfId="0" applyAlignment="1">
      <alignment horizontal="justify" vertical="top" wrapText="1"/>
    </xf>
    <xf numFmtId="182" applyNumberFormat="1" fontId="9" applyFont="1" fillId="0" applyFill="1" borderId="15" applyBorder="1" xfId="27" applyAlignment="1">
      <alignment horizontal="center"/>
    </xf>
    <xf numFmtId="2" applyNumberFormat="1" fontId="8" applyFont="1" fillId="0" applyFill="1" borderId="15" applyBorder="1" xfId="27" applyAlignment="1">
      <alignment horizontal="right"/>
    </xf>
    <xf numFmtId="2" applyNumberFormat="1" fontId="8" applyFont="1" fillId="0" applyFill="1" borderId="7" applyBorder="1" xfId="27" applyAlignment="1">
      <alignment horizontal="center"/>
    </xf>
    <xf numFmtId="0" applyNumberFormat="1" fontId="5" applyFont="1" fillId="0" applyFill="1" borderId="2" applyBorder="1" xfId="20" applyAlignment="1">
      <alignment vertical="top"/>
    </xf>
    <xf numFmtId="2" applyNumberFormat="1" fontId="18" applyFont="1" fillId="0" applyFill="1" borderId="5" applyBorder="1" xfId="12"/>
    <xf numFmtId="2" applyNumberFormat="1" fontId="18" applyFont="1" fillId="0" applyFill="1" borderId="6" applyBorder="1" xfId="12"/>
    <xf numFmtId="2" applyNumberFormat="1" fontId="18" applyFont="1" fillId="0" applyFill="1" borderId="7" applyBorder="1" xfId="12" applyAlignment="1">
      <alignment horizontal="center"/>
    </xf>
    <xf numFmtId="4" applyNumberFormat="1" fontId="18" applyFont="1" fillId="0" applyFill="1" borderId="7" applyBorder="1" xfId="12" applyAlignment="1">
      <alignment horizontal="center"/>
    </xf>
    <xf numFmtId="0" fontId="6" applyFont="1" fillId="0" applyFill="1" borderId="2" applyBorder="1" xfId="27" applyAlignment="1">
      <alignment horizontal="center"/>
    </xf>
    <xf numFmtId="4" applyNumberFormat="1" fontId="6" applyFont="1" fillId="0" applyFill="1" borderId="2" applyBorder="1" xfId="27" applyAlignment="1">
      <alignment horizontal="left" wrapText="1"/>
    </xf>
    <xf numFmtId="0" fontId="9" applyFont="1" fillId="0" borderId="2" applyBorder="1" xfId="20" applyAlignment="1">
      <alignment horizontal="center"/>
    </xf>
    <xf numFmtId="0" fontId="3" applyFont="1" fillId="0" borderId="2" applyBorder="1" xfId="20"/>
    <xf numFmtId="2" applyNumberFormat="1" fontId="6" applyFont="1" fillId="0" borderId="2" applyBorder="1" xfId="20"/>
    <xf numFmtId="0" fontId="6" applyFont="1" fillId="0" borderId="2" applyBorder="1" xfId="20" applyAlignment="1">
      <alignment horizontal="center"/>
    </xf>
    <xf numFmtId="2" applyNumberFormat="1" fontId="9" applyFont="1" fillId="0" borderId="2" applyBorder="1" xfId="20" applyAlignment="1">
      <alignment horizontal="center"/>
    </xf>
    <xf numFmtId="0" fontId="6" applyFont="1" fillId="0" borderId="2" applyBorder="1" xfId="20"/>
    <xf numFmtId="2" applyNumberFormat="1" fontId="4" applyFont="1" fillId="0" applyFill="1" borderId="2" applyBorder="1" xfId="20"/>
    <xf numFmtId="2" applyNumberFormat="1" fontId="4" applyFont="1" fillId="0" borderId="2" applyBorder="1" xfId="20" applyAlignment="1">
      <alignment horizontal="justify" vertical="justify" wrapText="1"/>
    </xf>
    <xf numFmtId="2" applyNumberFormat="1" fontId="9" applyFont="1" fillId="0" borderId="7" applyBorder="1" xfId="20" applyAlignment="1">
      <alignment horizontal="center"/>
    </xf>
    <xf numFmtId="2" applyNumberFormat="1" fontId="9" applyFont="1" fillId="0" borderId="13" applyBorder="1" xfId="20" applyAlignment="1">
      <alignment horizontal="center"/>
    </xf>
    <xf numFmtId="0" applyNumberFormat="1" fontId="9" applyFont="1" fillId="0" applyFill="1" borderId="9" applyBorder="1" xfId="20" applyAlignment="1">
      <alignment horizontal="justify" vertical="top"/>
    </xf>
    <xf numFmtId="0" fontId="26" applyFont="1" fillId="0" applyFill="1" borderId="2" applyBorder="1" xfId="29" applyAlignment="1">
      <alignment horizontal="justify" vertical="center" wrapText="1"/>
    </xf>
    <xf numFmtId="0" fontId="5" applyFont="1" fillId="0" applyFill="1" borderId="2" applyBorder="1" xfId="20" applyAlignment="1">
      <alignment horizontal="center" vertical="justify" wrapText="1" shrinkToFit="1"/>
    </xf>
    <xf numFmtId="0" fontId="9" applyFont="1" fillId="0" applyFill="1" borderId="0" applyBorder="1" xfId="20" applyAlignment="1">
      <alignment horizontal="center" vertical="justify" wrapText="1" shrinkToFit="1"/>
    </xf>
    <xf numFmtId="4" applyNumberFormat="1" fontId="9" applyFont="1" fillId="0" applyFill="1" borderId="6" applyBorder="1" xfId="27" applyAlignment="1">
      <alignment horizontal="center" vertical="center"/>
    </xf>
    <xf numFmtId="2" applyNumberFormat="1" fontId="9" applyFont="1" fillId="0" applyFill="1" borderId="10" applyBorder="1" xfId="27" applyAlignment="1">
      <alignment horizontal="center" vertical="center"/>
    </xf>
    <xf numFmtId="2" applyNumberFormat="1" fontId="9" applyFont="1" fillId="0" applyFill="1" borderId="6" applyBorder="1" xfId="27" applyAlignment="1">
      <alignment horizontal="center" vertical="center"/>
    </xf>
    <xf numFmtId="0" fontId="9" applyFont="1" fillId="0" borderId="11" applyBorder="1" xfId="20" applyAlignment="1">
      <alignment vertical="center"/>
    </xf>
    <xf numFmtId="4" applyNumberFormat="1" fontId="9" applyFont="1" fillId="0" applyFill="1" borderId="11" applyBorder="1" xfId="27" applyAlignment="1">
      <alignment horizontal="center" vertical="center"/>
    </xf>
    <xf numFmtId="2" applyNumberFormat="1" fontId="8" applyFont="1" fillId="0" applyFill="1" borderId="10" applyBorder="1" xfId="27" applyAlignment="1">
      <alignment horizontal="center" vertical="center"/>
    </xf>
    <xf numFmtId="4" applyNumberFormat="1" fontId="8" applyFont="1" fillId="2" applyFill="1" borderId="2" applyBorder="1" xfId="27" applyAlignment="1">
      <alignment horizontal="center"/>
    </xf>
    <xf numFmtId="4" applyNumberFormat="1" fontId="7" applyFont="1" fillId="2" applyFill="1" borderId="2" applyBorder="1" xfId="27" applyAlignment="1">
      <alignment horizontal="center"/>
    </xf>
    <xf numFmtId="4" applyNumberFormat="1" fontId="9" applyFont="1" fillId="2" applyFill="1" borderId="2" applyBorder="1" xfId="20"/>
    <xf numFmtId="2" applyNumberFormat="1" fontId="8" applyFont="1" fillId="2" applyFill="1" borderId="2" applyBorder="1" xfId="27" applyAlignment="1">
      <alignment horizontal="center"/>
    </xf>
    <xf numFmtId="2" applyNumberFormat="1" fontId="8" applyFont="1" fillId="2" applyFill="1" borderId="9" applyBorder="1" xfId="27" applyAlignment="1">
      <alignment horizontal="center"/>
    </xf>
    <xf numFmtId="4" applyNumberFormat="1" fontId="8" applyFont="1" fillId="2" applyFill="1" borderId="7" applyBorder="1" xfId="27" applyAlignment="1">
      <alignment horizontal="center"/>
    </xf>
    <xf numFmtId="201" applyNumberFormat="1" fontId="8" applyFont="1" fillId="0" applyFill="1" borderId="6" applyBorder="1" xfId="27" applyAlignment="1">
      <alignment horizontal="center"/>
    </xf>
    <xf numFmtId="4" applyNumberFormat="1" fontId="8" applyFont="1" fillId="3" applyFill="1" borderId="7" applyBorder="1" xfId="27" applyAlignment="1">
      <alignment horizontal="center"/>
    </xf>
    <xf numFmtId="0" fontId="36" applyFont="1" fillId="0" borderId="0" xfId="0"/>
    <xf numFmtId="0" fontId="7" applyFont="1" fillId="0" applyFill="1" borderId="0" applyBorder="1" xfId="0" applyAlignment="1">
      <alignment vertical="center"/>
    </xf>
    <xf numFmtId="0" fontId="29" applyFont="1" fillId="0" borderId="0" xfId="0" applyAlignment="1">
      <alignment vertical="top" wrapText="1" readingOrder="1"/>
    </xf>
    <xf numFmtId="3" applyNumberFormat="1" fontId="30" applyFont="1" fillId="0" borderId="0" applyBorder="1" xfId="0" applyAlignment="1">
      <alignment vertical="top" wrapText="1"/>
    </xf>
    <xf numFmtId="14" applyNumberFormat="1" fontId="30" applyFont="1" fillId="0" borderId="0" applyBorder="1" xfId="0" applyAlignment="1">
      <alignment vertical="top" wrapText="1"/>
    </xf>
    <xf numFmtId="0" fontId="29" applyFont="1" fillId="0" borderId="0" applyBorder="1" xfId="0" applyAlignment="1">
      <alignment horizontal="left" vertical="top" wrapText="1" readingOrder="1"/>
    </xf>
    <xf numFmtId="44" applyNumberFormat="1" fontId="7" applyFont="1" fillId="0" applyFill="1" borderId="0" applyBorder="1" xfId="16" applyAlignment="1">
      <alignment vertical="center"/>
    </xf>
    <xf numFmtId="0" fontId="5" applyFont="1" fillId="0" borderId="0" xfId="0"/>
    <xf numFmtId="0" fontId="31" applyFont="1" fillId="0" borderId="0" xfId="19"/>
    <xf numFmtId="0" fontId="5" applyFont="1" fillId="0" applyFill="1" borderId="0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applyFill="1" borderId="2" applyBorder="1" xfId="0" applyAlignment="1">
      <alignment horizontal="justify" vertical="center"/>
    </xf>
    <xf numFmtId="49" applyNumberFormat="1" fontId="7" applyFont="1" fillId="0" applyFill="1" borderId="2" applyBorder="1" xfId="0" applyAlignment="1">
      <alignment vertical="center"/>
    </xf>
    <xf numFmtId="49" applyNumberFormat="1" fontId="7" applyFont="1" fillId="0" applyFill="1" borderId="0" applyBorder="1" xfId="0" applyAlignment="1">
      <alignment vertical="center"/>
    </xf>
    <xf numFmtId="0" fontId="5" applyFont="1" fillId="4" applyFill="1" borderId="2" applyBorder="1" xfId="0"/>
    <xf numFmtId="0" fontId="5" applyFont="1" fillId="4" applyFill="1" borderId="2" applyBorder="1" xfId="0" applyAlignment="1">
      <alignment horizontal="center" vertical="center"/>
    </xf>
    <xf numFmtId="0" fontId="5" applyFont="1" fillId="4" applyFill="1" borderId="5" applyBorder="1" xfId="0" applyAlignment="1">
      <alignment horizontal="center" vertical="center"/>
    </xf>
    <xf numFmtId="0" fontId="36" applyFont="1" fillId="0" applyFill="1" borderId="2" applyBorder="1" xfId="0" applyAlignment="1">
      <alignment horizontal="center" vertical="center"/>
    </xf>
    <xf numFmtId="0" fontId="36" applyFont="1" fillId="0" applyFill="1" borderId="0" applyBorder="1" xfId="0" applyAlignment="1">
      <alignment horizontal="center"/>
    </xf>
    <xf numFmtId="0" fontId="5" applyFont="1" fillId="0" applyFill="1" borderId="2" applyBorder="1" xfId="0" applyAlignment="1">
      <alignment horizontal="center"/>
    </xf>
    <xf numFmtId="15" applyNumberFormat="1" fontId="5" applyFont="1" fillId="0" applyFill="1" borderId="9" applyBorder="1" xfId="0" applyAlignment="1">
      <alignment horizontal="center"/>
    </xf>
    <xf numFmtId="0" fontId="5" applyFont="1" fillId="0" applyFill="1" borderId="16" applyBorder="1" xfId="0" applyAlignment="1">
      <alignment vertical="center"/>
    </xf>
    <xf numFmtId="0" fontId="7" applyFont="1" fillId="0" applyFill="1" borderId="16" applyBorder="1" xfId="0" applyAlignment="1">
      <alignment horizontal="center" vertical="center"/>
    </xf>
    <xf numFmtId="0" fontId="5" applyFont="1" fillId="0" applyFill="1" borderId="12" applyBorder="1" xfId="0" applyAlignment="1">
      <alignment vertical="center"/>
    </xf>
    <xf numFmtId="0" fontId="5" applyFont="1" fillId="0" applyFill="1" borderId="4" applyBorder="1" xfId="0" applyAlignment="1">
      <alignment vertical="center"/>
    </xf>
    <xf numFmtId="9" applyNumberFormat="1" fontId="5" applyFont="1" fillId="0" applyFill="1" borderId="2" applyBorder="1" xfId="30" applyAlignment="1">
      <alignment horizontal="center" vertical="center"/>
    </xf>
    <xf numFmtId="9" applyNumberFormat="1" fontId="5" applyFont="1" fillId="0" applyFill="1" borderId="5" applyBorder="1" xfId="30" applyAlignment="1">
      <alignment horizontal="center" vertical="center"/>
    </xf>
    <xf numFmtId="0" fontId="2" applyFont="1" fillId="4" applyFill="1" borderId="2" applyBorder="1" xfId="0" applyAlignment="1">
      <alignment horizontal="center" vertical="center"/>
    </xf>
    <xf numFmtId="0" fontId="5" applyFont="1" fillId="0" borderId="2" applyBorder="1" xfId="0" applyAlignment="1">
      <alignment horizontal="center"/>
    </xf>
    <xf numFmtId="177" applyNumberFormat="1" fontId="21" applyFont="1" fillId="0" applyFill="1" borderId="3" applyBorder="1" xfId="0" applyAlignment="1"/>
    <xf numFmtId="4" applyNumberFormat="1" fontId="14" applyFont="1" fillId="0" applyFill="1" borderId="0" applyBorder="1" xfId="0" applyAlignment="1">
      <alignment horizontal="center"/>
    </xf>
    <xf numFmtId="177" applyNumberFormat="1" fontId="14" applyFont="1" fillId="0" applyFill="1" borderId="0" applyBorder="1" xfId="0"/>
    <xf numFmtId="177" applyNumberFormat="1" fontId="16" applyFont="1" fillId="0" applyFill="1" borderId="0" applyBorder="1" xfId="0" applyAlignment="1">
      <alignment horizontal="right" shrinkToFit="1"/>
    </xf>
    <xf numFmtId="0" fontId="16" applyFont="1" fillId="0" applyFill="1" borderId="0" applyBorder="1" xfId="0"/>
    <xf numFmtId="0" fontId="3" applyFont="1" fillId="0" borderId="0" applyBorder="1" xfId="0"/>
    <xf numFmtId="0" fontId="16" applyFont="1" fillId="0" applyFill="1" borderId="0" applyBorder="1" xfId="0" applyAlignment="1">
      <alignment horizontal="right"/>
    </xf>
    <xf numFmtId="4" applyNumberFormat="1" fontId="4" applyFont="1" fillId="0" applyFill="1" borderId="0" applyBorder="1" xfId="0" applyAlignment="1"/>
    <xf numFmtId="44" applyNumberFormat="1" fontId="5" applyFont="1" fillId="0" applyFill="1" borderId="2" applyBorder="1" xfId="14" applyAlignment="1">
      <alignment vertical="center"/>
    </xf>
    <xf numFmtId="177" applyNumberFormat="1" fontId="4" applyFont="1" fillId="0" applyFill="1" borderId="2" applyBorder="1" xfId="0" applyAlignment="1"/>
    <xf numFmtId="2" applyNumberFormat="1" fontId="5" applyFont="1" fillId="0" applyFill="1" borderId="3" applyBorder="1" xfId="25" applyAlignment="1">
      <alignment horizontal="center" vertical="center"/>
    </xf>
    <xf numFmtId="44" applyNumberFormat="1" fontId="37" applyFont="1" fillId="0" applyFill="1" borderId="3" applyBorder="1" xfId="15" applyAlignment="1">
      <alignment horizontal="center" vertical="center"/>
    </xf>
    <xf numFmtId="44" applyNumberFormat="1" fontId="5" applyFont="1" fillId="0" applyFill="1" borderId="17" applyBorder="1" xfId="15" applyAlignment="1">
      <alignment horizontal="center" vertical="center"/>
    </xf>
    <xf numFmtId="0" applyNumberFormat="1" fontId="2" applyFont="1" fillId="0" applyFill="1" borderId="18" applyBorder="1" xfId="25" applyAlignment="1">
      <alignment horizontal="center" vertical="center"/>
    </xf>
    <xf numFmtId="0" applyNumberFormat="1" fontId="2" applyFont="1" fillId="0" applyFill="1" borderId="3" applyBorder="1" xfId="25" applyAlignment="1">
      <alignment horizontal="center" vertical="center"/>
    </xf>
    <xf numFmtId="0" fontId="3" applyFont="1" fillId="0" borderId="18" applyBorder="1" xfId="25" applyAlignment="1">
      <alignment horizontal="center" vertical="center"/>
    </xf>
    <xf numFmtId="0" fontId="2" applyFont="1" fillId="0" borderId="3" applyBorder="1" xfId="25" applyAlignment="1">
      <alignment horizontal="center" vertical="center"/>
    </xf>
    <xf numFmtId="0" fontId="9" applyFont="1" fillId="0" applyFill="1" borderId="19" applyBorder="1" xfId="0" applyAlignment="1">
      <alignment horizontal="center" vertical="center" wrapText="1"/>
    </xf>
    <xf numFmtId="4" applyNumberFormat="1" fontId="9" applyFont="1" fillId="0" applyFill="1" borderId="20" applyBorder="1" xfId="0" applyAlignment="1">
      <alignment horizontal="center" vertical="center" wrapText="1"/>
    </xf>
    <xf numFmtId="0" fontId="7" applyFont="1" fillId="0" applyFill="1" borderId="0" applyBorder="1" xfId="0" quotePrefix="1" applyAlignment="1">
      <alignment vertical="center"/>
    </xf>
    <xf numFmtId="204" applyNumberFormat="1" fontId="3" applyFont="1" fillId="0" borderId="21" applyBorder="1" xfId="0" applyAlignment="1">
      <alignment horizontal="center"/>
    </xf>
    <xf numFmtId="0" fontId="3" applyFont="1" fillId="0" borderId="22" applyBorder="1" xfId="21" applyAlignment="1">
      <alignment horizontal="left"/>
    </xf>
    <xf numFmtId="0" fontId="32" applyFont="1" fillId="0" borderId="22" applyBorder="1" xfId="24" applyAlignment="1">
      <alignment horizontal="center" vertical="top"/>
    </xf>
    <xf numFmtId="205" applyNumberFormat="1" fontId="2" applyFont="1" fillId="0" applyFill="1" borderId="22" applyBorder="1" xfId="25" applyAlignment="1">
      <alignment horizontal="center" vertical="center"/>
    </xf>
    <xf numFmtId="44" applyNumberFormat="1" fontId="38" applyFont="1" fillId="0" applyFill="1" borderId="22" applyBorder="1" xfId="15" applyAlignment="1">
      <alignment horizontal="center" vertical="center"/>
    </xf>
    <xf numFmtId="44" applyNumberFormat="1" fontId="2" applyFont="1" fillId="0" applyFill="1" borderId="23" applyBorder="1" xfId="15" applyAlignment="1">
      <alignment horizontal="center" vertical="center"/>
    </xf>
    <xf numFmtId="204" applyNumberFormat="1" fontId="3" applyFont="1" fillId="0" borderId="18" applyBorder="1" xfId="0" applyAlignment="1">
      <alignment horizontal="center"/>
    </xf>
    <xf numFmtId="0" fontId="3" applyFont="1" fillId="0" borderId="3" applyBorder="1" xfId="21" applyAlignment="1">
      <alignment horizontal="left"/>
    </xf>
    <xf numFmtId="0" fontId="32" applyFont="1" fillId="0" borderId="3" applyBorder="1" xfId="24" applyAlignment="1">
      <alignment horizontal="center" vertical="top"/>
    </xf>
    <xf numFmtId="4" applyNumberFormat="1" fontId="2" applyFont="1" fillId="0" applyFill="1" borderId="3" applyBorder="1" xfId="25" applyAlignment="1">
      <alignment horizontal="center" vertical="center"/>
    </xf>
    <xf numFmtId="44" applyNumberFormat="1" fontId="39" applyFont="1" fillId="0" applyFill="1" borderId="3" applyBorder="1" xfId="15" applyAlignment="1">
      <alignment horizontal="left" vertical="top" shrinkToFit="1"/>
    </xf>
    <xf numFmtId="44" applyNumberFormat="1" fontId="2" applyFont="1" fillId="0" applyFill="1" borderId="17" applyBorder="1" xfId="15" applyAlignment="1">
      <alignment horizontal="center" vertical="center"/>
    </xf>
    <xf numFmtId="0" applyNumberFormat="1" fontId="2" applyFont="1" fillId="0" applyFill="1" borderId="18" applyBorder="1" xfId="0" applyAlignment="1">
      <alignment horizontal="center" vertical="top"/>
    </xf>
    <xf numFmtId="0" applyNumberFormat="1" fontId="2" applyFont="1" fillId="0" applyFill="1" borderId="3" applyBorder="1" xfId="0" applyAlignment="1">
      <alignment horizontal="justify" vertical="justify" wrapText="1"/>
    </xf>
    <xf numFmtId="0" fontId="2" applyFont="1" fillId="0" applyFill="1" borderId="3" applyBorder="1" xfId="24" applyAlignment="1">
      <alignment horizontal="center"/>
    </xf>
    <xf numFmtId="2" applyNumberFormat="1" fontId="2" applyFont="1" fillId="0" borderId="3" applyBorder="1" xfId="25" applyAlignment="1">
      <alignment horizontal="center" vertical="center"/>
    </xf>
    <xf numFmtId="44" applyNumberFormat="1" fontId="38" applyFont="1" fillId="0" applyFill="1" borderId="3" applyBorder="1" xfId="15" applyAlignment="1">
      <alignment horizontal="center" vertical="center"/>
    </xf>
    <xf numFmtId="44" applyNumberFormat="1" fontId="2" applyFont="1" fillId="0" borderId="17" applyBorder="1" xfId="15" applyAlignment="1">
      <alignment horizontal="center" vertical="center"/>
    </xf>
    <xf numFmtId="0" fontId="3" applyFont="1" fillId="0" applyFill="1" borderId="18" applyBorder="1" xfId="0" applyAlignment="1">
      <alignment horizontal="center"/>
    </xf>
    <xf numFmtId="0" fontId="2" applyFont="1" fillId="0" applyFill="1" borderId="3" applyBorder="1" xfId="0" applyAlignment="1">
      <alignment horizontal="justify" vertical="justify" wrapText="1"/>
    </xf>
    <xf numFmtId="0" fontId="2" applyFont="1" fillId="0" applyFill="1" borderId="3" applyBorder="1" xfId="0" applyAlignment="1">
      <alignment horizontal="center" vertical="center"/>
    </xf>
    <xf numFmtId="205" applyNumberFormat="1" fontId="2" applyFont="1" fillId="0" applyFill="1" borderId="3" applyBorder="1" xfId="25" applyAlignment="1">
      <alignment horizontal="center" vertical="center"/>
    </xf>
    <xf numFmtId="1" applyNumberFormat="1" fontId="3" applyFont="1" fillId="0" applyFill="1" borderId="18" applyBorder="1" xfId="21" applyAlignment="1">
      <alignment horizontal="center" vertical="center" wrapText="1"/>
    </xf>
    <xf numFmtId="204" applyNumberFormat="1" fontId="2" applyFont="1" fillId="0" applyFill="1" borderId="18" applyBorder="1" xfId="0" applyAlignment="1">
      <alignment horizontal="center" vertical="top"/>
    </xf>
    <xf numFmtId="0" fontId="2" applyFont="1" fillId="0" applyFill="1" borderId="18" applyBorder="1" xfId="0" applyAlignment="1">
      <alignment horizontal="center"/>
    </xf>
    <xf numFmtId="0" applyNumberFormat="1" fontId="2" applyFont="1" fillId="0" applyFill="1" borderId="3" applyBorder="1" xfId="0" applyAlignment="1">
      <alignment horizontal="justify" vertical="distributed"/>
    </xf>
    <xf numFmtId="0" fontId="3" applyFont="1" fillId="0" applyFill="1" borderId="3" applyBorder="1" xfId="0" applyAlignment="1">
      <alignment horizontal="center" vertical="center"/>
    </xf>
    <xf numFmtId="0" applyNumberFormat="1" fontId="3" applyFont="1" fillId="5" applyFill="1" borderId="3" applyBorder="1" xfId="25" applyAlignment="1">
      <alignment horizontal="justify" vertical="distributed" wrapText="1"/>
    </xf>
    <xf numFmtId="0" fontId="2" applyFont="1" fillId="0" applyFill="1" borderId="18" applyBorder="1" xfId="0" applyAlignment="1">
      <alignment horizontal="center" vertical="top"/>
    </xf>
    <xf numFmtId="4" applyNumberFormat="1" fontId="2" applyFont="1" fillId="0" applyFill="1" borderId="3" applyBorder="1" xfId="24" applyAlignment="1">
      <alignment horizontal="center"/>
    </xf>
    <xf numFmtId="204" applyNumberFormat="1" fontId="3" applyFont="1" fillId="0" applyFill="1" borderId="18" applyBorder="1" xfId="0" applyAlignment="1">
      <alignment horizontal="center" vertical="center"/>
    </xf>
    <xf numFmtId="204" applyNumberFormat="1" fontId="3" applyFont="1" fillId="0" applyFill="1" borderId="3" applyBorder="1" xfId="0" applyAlignment="1">
      <alignment horizontal="left" vertical="center"/>
    </xf>
    <xf numFmtId="204" applyNumberFormat="1" fontId="2" applyFont="1" fillId="0" applyFill="1" borderId="18" applyBorder="1" xfId="0" applyAlignment="1">
      <alignment horizontal="center" vertical="center"/>
    </xf>
    <xf numFmtId="0" fontId="3" applyFont="1" fillId="0" applyFill="1" borderId="3" applyBorder="1" xfId="0" applyAlignment="1">
      <alignment horizontal="justify" vertical="center"/>
    </xf>
    <xf numFmtId="204" applyNumberFormat="1" fontId="3" applyFont="1" fillId="0" borderId="21" applyBorder="1" xfId="0" applyAlignment="1">
      <alignment horizontal="center" vertical="top"/>
    </xf>
    <xf numFmtId="0" fontId="3" applyFont="1" fillId="0" applyFill="1" borderId="22" applyBorder="1" xfId="0" applyAlignment="1">
      <alignment horizontal="center"/>
    </xf>
    <xf numFmtId="4" applyNumberFormat="1" fontId="2" applyFont="1" fillId="0" applyFill="1" borderId="22" applyBorder="1" xfId="25" applyAlignment="1">
      <alignment horizontal="center" vertical="center"/>
    </xf>
    <xf numFmtId="44" applyNumberFormat="1" fontId="2" applyFont="1" fillId="0" borderId="23" applyBorder="1" xfId="15" applyAlignment="1">
      <alignment horizontal="center" vertical="center"/>
    </xf>
    <xf numFmtId="204" applyNumberFormat="1" fontId="2" applyFont="1" fillId="0" borderId="18" applyBorder="1" xfId="0" applyAlignment="1">
      <alignment horizontal="center" vertical="top"/>
    </xf>
    <xf numFmtId="0" fontId="3" applyFont="1" fillId="0" applyFill="1" borderId="3" applyBorder="1" xfId="0" applyAlignment="1">
      <alignment horizontal="center"/>
    </xf>
    <xf numFmtId="0" fontId="2" applyFont="1" fillId="0" borderId="18" applyBorder="1" xfId="0" applyAlignment="1">
      <alignment horizontal="center" vertical="top"/>
    </xf>
    <xf numFmtId="204" applyNumberFormat="1" fontId="3" applyFont="1" fillId="0" borderId="18" applyBorder="1" xfId="0" applyAlignment="1">
      <alignment horizontal="center" vertical="top"/>
    </xf>
    <xf numFmtId="0" fontId="2" applyFont="1" fillId="0" applyFill="1" borderId="3" applyBorder="1" xfId="0" applyAlignment="1">
      <alignment wrapText="1"/>
    </xf>
    <xf numFmtId="204" applyNumberFormat="1" fontId="3" applyFont="1" fillId="0" applyFill="1" borderId="18" applyBorder="1" xfId="0" applyAlignment="1">
      <alignment horizontal="center" vertical="top"/>
    </xf>
    <xf numFmtId="0" fontId="3" applyFont="1" fillId="0" applyFill="1" borderId="3" applyBorder="1" xfId="0" applyAlignment="1">
      <alignment wrapText="1"/>
    </xf>
    <xf numFmtId="0" fontId="3" applyFont="1" fillId="0" borderId="18" applyBorder="1" xfId="28" applyAlignment="1">
      <alignment horizontal="center" vertical="center"/>
    </xf>
    <xf numFmtId="0" applyNumberFormat="1" fontId="3" applyFont="1" fillId="0" applyFill="1" borderId="3" applyBorder="1" xfId="0" applyAlignment="1">
      <alignment vertical="center" wrapText="1"/>
    </xf>
    <xf numFmtId="0" applyNumberFormat="1" fontId="3" applyFont="1" fillId="0" applyFill="1" borderId="18" applyBorder="1" xfId="0" applyAlignment="1">
      <alignment horizontal="center" vertical="top"/>
    </xf>
    <xf numFmtId="0" applyNumberFormat="1" fontId="3" applyFont="1" fillId="0" applyFill="1" borderId="3" applyBorder="1" xfId="0" applyAlignment="1">
      <alignment vertical="justify" wrapText="1"/>
    </xf>
    <xf numFmtId="0" fontId="2" applyFont="1" fillId="0" applyFill="1" borderId="3" applyBorder="1" xfId="0" applyAlignment="1">
      <alignment horizontal="center"/>
    </xf>
    <xf numFmtId="44" applyNumberFormat="1" fontId="2" applyFont="1" fillId="0" applyFill="1" borderId="3" applyBorder="1" xfId="15" applyAlignment="1">
      <alignment horizontal="center" vertical="top"/>
    </xf>
    <xf numFmtId="0" fontId="2" applyFont="1" fillId="0" borderId="18" applyBorder="1" xfId="28" applyAlignment="1">
      <alignment horizontal="center"/>
    </xf>
    <xf numFmtId="0" fontId="2" applyFont="1" fillId="0" borderId="3" applyBorder="1" xfId="28"/>
    <xf numFmtId="0" fontId="15" applyFont="1" fillId="0" borderId="18" applyBorder="1" xfId="28" applyAlignment="1">
      <alignment horizontal="center"/>
    </xf>
    <xf numFmtId="0" fontId="2" applyFont="1" fillId="0" applyFill="1" borderId="3" applyBorder="1" xfId="23" applyAlignment="1">
      <alignment horizontal="center"/>
    </xf>
    <xf numFmtId="0" fontId="3" applyFont="1" fillId="0" borderId="18" applyBorder="1" xfId="0" applyAlignment="1">
      <alignment horizontal="center"/>
    </xf>
    <xf numFmtId="0" fontId="38" applyFont="1" fillId="0" borderId="18" applyBorder="1" xfId="26" applyAlignment="1">
      <alignment horizontal="center"/>
    </xf>
    <xf numFmtId="0" fontId="38" applyFont="1" fillId="0" borderId="3" applyBorder="1" xfId="26"/>
    <xf numFmtId="0" fontId="38" applyFont="1" fillId="0" borderId="3" applyBorder="1" xfId="26" applyAlignment="1">
      <alignment horizontal="center"/>
    </xf>
    <xf numFmtId="0" fontId="38" applyFont="1" fillId="0" borderId="17" applyBorder="1" xfId="26" applyAlignment="1">
      <alignment horizontal="center"/>
    </xf>
    <xf numFmtId="44" applyNumberFormat="1" fontId="38" applyFont="1" fillId="0" borderId="3" applyBorder="1" xfId="15" applyAlignment="1">
      <alignment horizontal="center"/>
    </xf>
    <xf numFmtId="4" applyNumberFormat="1" fontId="38" applyFont="1" fillId="0" borderId="3" applyBorder="1" xfId="26" applyAlignment="1">
      <alignment horizontal="center"/>
    </xf>
    <xf numFmtId="204" applyNumberFormat="1" fontId="2" applyFont="1" fillId="0" applyFill="1" borderId="21" applyBorder="1" xfId="0" applyAlignment="1">
      <alignment horizontal="center" vertical="top"/>
    </xf>
    <xf numFmtId="0" fontId="2" applyFont="1" fillId="0" applyFill="1" borderId="3" applyBorder="1" xfId="0" applyAlignment="1">
      <alignment horizontal="justify" vertical="top"/>
    </xf>
    <xf numFmtId="0" fontId="38" applyFont="1" fillId="0" borderId="0" xfId="26" applyAlignment="1">
      <alignment vertical="top" wrapText="1"/>
    </xf>
    <xf numFmtId="0" fontId="9" applyFont="1" fillId="0" applyFill="1" borderId="24" applyBorder="1" xfId="0" applyAlignment="1">
      <alignment horizontal="center" vertical="center" wrapText="1"/>
    </xf>
    <xf numFmtId="0" fontId="2" applyFont="1" fillId="0" borderId="3" applyBorder="1" xfId="0" applyAlignment="1">
      <alignment horizontal="center"/>
    </xf>
    <xf numFmtId="0" fontId="40" applyFont="1" fillId="0" borderId="18" applyBorder="1" xfId="26" applyAlignment="1">
      <alignment horizontal="center"/>
    </xf>
    <xf numFmtId="0" fontId="40" applyFont="1" fillId="0" borderId="3" applyBorder="1" xfId="26"/>
    <xf numFmtId="4" applyNumberFormat="1" fontId="7" applyFont="1" fillId="0" applyFill="1" borderId="0" applyBorder="1" xfId="0" applyAlignment="1"/>
    <xf numFmtId="177" applyNumberFormat="1" fontId="4" applyFont="1" fillId="0" applyFill="1" borderId="0" applyBorder="1" xfId="0" applyAlignment="1"/>
    <xf numFmtId="3" applyNumberFormat="1" fontId="29" applyFont="1" fillId="0" applyFill="1" borderId="0" applyBorder="1" xfId="0" applyAlignment="1">
      <alignment horizontal="center" vertical="top" wrapText="1"/>
    </xf>
    <xf numFmtId="14" applyNumberFormat="1" fontId="29" applyFont="1" fillId="0" borderId="0" xfId="0" applyAlignment="1">
      <alignment vertical="top" wrapText="1" readingOrder="1"/>
    </xf>
    <xf numFmtId="44" applyNumberFormat="1" fontId="2" applyFont="1" fillId="0" borderId="17" applyBorder="1" xfId="15" applyAlignment="1">
      <alignment horizontal="center" vertical="center"/>
    </xf>
    <xf numFmtId="0" applyNumberFormat="1" fontId="3" applyFont="1" fillId="0" applyFill="1" borderId="3" applyBorder="1" xfId="0" applyAlignment="1">
      <alignment horizontal="justify" vertical="justify" wrapText="1"/>
    </xf>
    <xf numFmtId="0" fontId="38" applyFont="1" fillId="0" borderId="3" applyBorder="1" xfId="26" applyAlignment="1">
      <alignment vertical="top" wrapText="1"/>
    </xf>
    <xf numFmtId="2" applyNumberFormat="1" fontId="2" applyFont="1" fillId="0" applyFill="1" borderId="18" applyBorder="1" xfId="25" applyAlignment="1">
      <alignment horizontal="center" vertical="center"/>
    </xf>
    <xf numFmtId="177" applyNumberFormat="1" fontId="33" applyFont="1" fillId="0" applyFill="1" borderId="0" applyBorder="1" xfId="0"/>
    <xf numFmtId="14" applyNumberFormat="1" fontId="5" applyFont="1" fillId="0" applyFill="1" borderId="2" applyBorder="1" xfId="0" applyAlignment="1">
      <alignment horizontal="center"/>
    </xf>
    <xf numFmtId="0" fontId="3" applyFont="1" fillId="0" borderId="18" applyBorder="1" xfId="28" applyAlignment="1">
      <alignment horizontal="center"/>
    </xf>
    <xf numFmtId="0" fontId="3" applyFont="1" fillId="0" borderId="3" applyBorder="1" xfId="28" applyAlignment="1"/>
    <xf numFmtId="0" fontId="40" applyFont="1" fillId="0" borderId="0" applyBorder="1" xfId="26"/>
    <xf numFmtId="44" applyNumberFormat="1" fontId="38" applyFont="1" fillId="0" applyFill="1" borderId="3" applyBorder="1" xfId="15" applyAlignment="1">
      <alignment horizontal="right" vertical="center"/>
    </xf>
    <xf numFmtId="0" applyNumberFormat="1" fontId="2" applyFont="1" fillId="0" applyFill="1" borderId="3" applyBorder="1" xfId="0" applyAlignment="1">
      <alignment horizontal="center" vertical="justify" wrapText="1"/>
    </xf>
    <xf numFmtId="0" applyNumberFormat="1" fontId="2" applyFont="1" fillId="0" applyFill="1" borderId="22" applyBorder="1" xfId="0" applyAlignment="1">
      <alignment horizontal="justify" vertical="justify" wrapText="1"/>
    </xf>
    <xf numFmtId="0" fontId="2" applyFont="1" fillId="0" applyFill="1" borderId="22" applyBorder="1" xfId="24" applyAlignment="1">
      <alignment horizontal="center"/>
    </xf>
    <xf numFmtId="44" applyNumberFormat="1" fontId="38" applyFont="1" fillId="0" applyFill="1" borderId="22" applyBorder="1" xfId="15" applyAlignment="1">
      <alignment horizontal="right" vertical="center"/>
    </xf>
    <xf numFmtId="204" applyNumberFormat="1" fontId="2" applyFont="1" fillId="0" applyFill="1" borderId="25" applyBorder="1" xfId="0" applyAlignment="1">
      <alignment horizontal="center" vertical="top"/>
    </xf>
    <xf numFmtId="0" applyNumberFormat="1" fontId="2" applyFont="1" fillId="0" applyFill="1" borderId="19" applyBorder="1" xfId="0" applyAlignment="1">
      <alignment horizontal="justify" vertical="justify" wrapText="1"/>
    </xf>
    <xf numFmtId="0" fontId="2" applyFont="1" fillId="0" applyFill="1" borderId="19" applyBorder="1" xfId="24" applyAlignment="1">
      <alignment horizontal="center"/>
    </xf>
    <xf numFmtId="4" applyNumberFormat="1" fontId="2" applyFont="1" fillId="0" applyFill="1" borderId="19" applyBorder="1" xfId="25" applyAlignment="1">
      <alignment horizontal="center" vertical="center"/>
    </xf>
    <xf numFmtId="44" applyNumberFormat="1" fontId="38" applyFont="1" fillId="0" applyFill="1" borderId="19" applyBorder="1" xfId="15" applyAlignment="1">
      <alignment horizontal="center" vertical="center"/>
    </xf>
    <xf numFmtId="44" applyNumberFormat="1" fontId="2" applyFont="1" fillId="0" borderId="20" applyBorder="1" xfId="15" applyAlignment="1">
      <alignment horizontal="center" vertical="center"/>
    </xf>
    <xf numFmtId="4" applyNumberFormat="1" fontId="9" applyFont="1" fillId="0" applyFill="1" borderId="3" applyBorder="1" xfId="0" applyAlignment="1">
      <alignment horizontal="center" vertical="center" wrapText="1"/>
    </xf>
    <xf numFmtId="4" applyNumberFormat="1" fontId="9" applyFont="1" fillId="0" applyFill="1" borderId="3" applyBorder="1" xfId="0" applyAlignment="1">
      <alignment horizontal="center" vertical="center"/>
    </xf>
    <xf numFmtId="4" applyNumberFormat="1" fontId="4" applyFont="1" fillId="0" applyFill="1" borderId="5" applyBorder="1" xfId="0" applyAlignment="1"/>
    <xf numFmtId="44" applyNumberFormat="1" fontId="38" applyFont="1" fillId="0" applyFill="1" borderId="2" applyBorder="1" xfId="15" applyAlignment="1">
      <alignment horizontal="right" vertical="center"/>
    </xf>
    <xf numFmtId="4" applyNumberFormat="1" fontId="4" applyFont="1" fillId="0" applyFill="1" borderId="2" applyBorder="1" xfId="0" applyAlignment="1"/>
    <xf numFmtId="0" fontId="3" applyFont="1" fillId="0" applyFill="1" borderId="22" applyBorder="1" xfId="0" applyAlignment="1">
      <alignment horizontal="left"/>
    </xf>
    <xf numFmtId="204" applyNumberFormat="1" fontId="3" applyFont="1" fillId="0" borderId="3" applyBorder="1" xfId="0" applyAlignment="1">
      <alignment horizontal="left" vertical="top"/>
    </xf>
    <xf numFmtId="0" fontId="2" applyFont="1" fillId="0" borderId="25" applyBorder="1" xfId="28" applyAlignment="1">
      <alignment horizontal="center"/>
    </xf>
    <xf numFmtId="0" fontId="3" applyFont="1" fillId="0" applyFill="1" borderId="19" applyBorder="1" xfId="0" applyAlignment="1">
      <alignment horizontal="center"/>
    </xf>
    <xf numFmtId="0" fontId="2" applyFont="1" fillId="0" borderId="21" applyBorder="1" xfId="28" applyAlignment="1">
      <alignment horizontal="center"/>
    </xf>
    <xf numFmtId="0" applyNumberFormat="1" fontId="3" applyFont="1" fillId="0" applyFill="1" borderId="22" applyBorder="1" xfId="0" applyAlignment="1">
      <alignment horizontal="justify" vertical="justify" wrapText="1"/>
    </xf>
    <xf numFmtId="0" applyNumberFormat="1" fontId="3" applyFont="1" fillId="0" applyFill="1" borderId="22" applyBorder="1" xfId="0" applyAlignment="1">
      <alignment vertical="justify" wrapText="1"/>
    </xf>
    <xf numFmtId="0" fontId="2" applyFont="1" fillId="0" applyFill="1" borderId="22" applyBorder="1" xfId="0" applyAlignment="1">
      <alignment horizontal="center"/>
    </xf>
    <xf numFmtId="0" fontId="38" applyFont="1" fillId="0" borderId="25" applyBorder="1" xfId="26" applyAlignment="1">
      <alignment horizontal="center"/>
    </xf>
    <xf numFmtId="0" fontId="38" applyFont="1" fillId="0" borderId="19" applyBorder="1" xfId="26"/>
    <xf numFmtId="0" fontId="38" applyFont="1" fillId="0" borderId="19" applyBorder="1" xfId="26" applyAlignment="1">
      <alignment horizontal="center"/>
    </xf>
    <xf numFmtId="0" fontId="38" applyFont="1" fillId="0" borderId="20" applyBorder="1" xfId="26" applyAlignment="1">
      <alignment horizontal="center"/>
    </xf>
    <xf numFmtId="0" fontId="38" applyFont="1" fillId="0" borderId="26" applyBorder="1" xfId="26" applyAlignment="1">
      <alignment horizontal="center" vertical="top" wrapText="1"/>
    </xf>
    <xf numFmtId="0" fontId="38" applyFont="1" fillId="0" borderId="0" xfId="26" applyAlignment="1">
      <alignment horizontal="center" wrapText="1"/>
    </xf>
    <xf numFmtId="0" fontId="38" applyFont="1" fillId="0" borderId="3" applyBorder="1" xfId="26" applyAlignment="1">
      <alignment horizontal="justify" vertical="top" wrapText="1"/>
    </xf>
    <xf numFmtId="0" applyNumberFormat="1" fontId="2" applyFont="1" fillId="0" applyFill="1" borderId="18" applyBorder="1" xfId="25" applyAlignment="1">
      <alignment horizontal="justify" vertical="center"/>
    </xf>
    <xf numFmtId="0" applyNumberFormat="1" fontId="2" applyFont="1" fillId="0" applyFill="1" borderId="27" applyBorder="1" xfId="25" applyAlignment="1">
      <alignment horizontal="justify" vertical="center"/>
    </xf>
    <xf numFmtId="2" applyNumberFormat="1" fontId="2" applyFont="1" fillId="0" applyFill="1" borderId="18" applyBorder="1" xfId="25" applyAlignment="1">
      <alignment horizontal="center" vertical="center" wrapText="1"/>
    </xf>
    <xf numFmtId="0" fontId="4" applyFont="1" fillId="8" applyFill="1" borderId="0" applyBorder="1" xfId="0" applyAlignment="1">
      <alignment horizontal="center" vertical="top" wrapText="1"/>
    </xf>
    <xf numFmtId="0" fontId="7" applyFont="1" fillId="0" applyFill="1" borderId="0" applyBorder="1" xfId="0" applyAlignment="1">
      <alignment horizontal="justify" vertical="center" wrapText="1"/>
    </xf>
    <xf numFmtId="0" fontId="7" applyFont="1" fillId="0" applyFill="1" borderId="0" applyBorder="1" xfId="0" applyAlignment="1">
      <alignment horizontal="justify" vertical="center"/>
    </xf>
    <xf numFmtId="0" fontId="7" applyFont="1" fillId="0" applyFill="1" borderId="0" applyBorder="1" xfId="0" applyAlignment="1">
      <alignment horizontal="left" vertical="center"/>
    </xf>
    <xf numFmtId="0" fontId="5" applyFont="1" fillId="6" applyFill="1" borderId="5" applyBorder="1" xfId="0" applyAlignment="1">
      <alignment horizontal="center"/>
    </xf>
    <xf numFmtId="0" fontId="5" applyFont="1" fillId="6" applyFill="1" borderId="7" applyBorder="1" xfId="0" applyAlignment="1">
      <alignment horizontal="center"/>
    </xf>
    <xf numFmtId="0" fontId="5" applyFont="1" fillId="4" applyFill="1" borderId="10" applyBorder="1" xfId="0" applyAlignment="1">
      <alignment horizontal="center"/>
    </xf>
    <xf numFmtId="0" fontId="5" applyFont="1" fillId="4" applyFill="1" borderId="26" applyBorder="1" xfId="0" applyAlignment="1">
      <alignment horizontal="center"/>
    </xf>
    <xf numFmtId="0" fontId="5" applyFont="1" fillId="0" borderId="10" applyBorder="1" xfId="0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5" applyFont="1" fillId="0" borderId="13" applyBorder="1" xfId="0" applyAlignment="1">
      <alignment horizontal="center" vertical="center"/>
    </xf>
    <xf numFmtId="0" fontId="5" applyFont="1" fillId="4" applyFill="1" borderId="2" applyBorder="1" xfId="0" applyAlignment="1">
      <alignment horizontal="center"/>
    </xf>
    <xf numFmtId="0" fontId="5" applyFont="1" fillId="4" applyFill="1" borderId="5" applyBorder="1" xfId="0" applyAlignment="1">
      <alignment horizontal="center"/>
    </xf>
    <xf numFmtId="0" fontId="5" applyFont="1" fillId="4" applyFill="1" borderId="2" applyBorder="1" xfId="0" applyAlignment="1">
      <alignment horizontal="justify" vertical="center"/>
    </xf>
    <xf numFmtId="0" fontId="5" applyFont="1" fillId="4" applyFill="1" borderId="2" applyBorder="1" xfId="0" applyAlignment="1">
      <alignment horizontal="center" vertical="center"/>
    </xf>
    <xf numFmtId="0" fontId="35" applyFont="1" fillId="7" applyFill="1" borderId="0" xfId="0" applyAlignment="1">
      <alignment horizontal="center"/>
    </xf>
    <xf numFmtId="0" fontId="5" applyFont="1" fillId="4" applyFill="1" borderId="16" applyBorder="1" xfId="0" applyAlignment="1">
      <alignment horizontal="center" vertical="center"/>
    </xf>
    <xf numFmtId="0" fontId="5" applyFont="1" fillId="4" applyFill="1" borderId="0" applyBorder="1" xfId="0" applyAlignment="1">
      <alignment horizontal="center" vertical="center"/>
    </xf>
    <xf numFmtId="0" fontId="7" applyFont="1" fillId="0" applyFill="1" borderId="0" applyBorder="1" xfId="0" applyAlignment="1">
      <alignment horizontal="center" vertical="center"/>
    </xf>
    <xf numFmtId="0" fontId="29" applyFont="1" fillId="0" borderId="0" xfId="0" applyAlignment="1">
      <alignment horizontal="left" vertical="top" wrapText="1" readingOrder="1"/>
    </xf>
    <xf numFmtId="17" applyNumberFormat="1" fontId="29" applyFont="1" fillId="0" borderId="0" xfId="0" quotePrefix="1" applyAlignment="1">
      <alignment horizontal="center" vertical="top" wrapText="1" readingOrder="1"/>
    </xf>
    <xf numFmtId="0" fontId="29" applyFont="1" fillId="0" borderId="0" xfId="0" applyAlignment="1">
      <alignment horizontal="center" vertical="top" wrapText="1" readingOrder="1"/>
    </xf>
    <xf numFmtId="0" fontId="5" applyFont="1" fillId="7" applyFill="1" borderId="0" xfId="0" applyAlignment="1">
      <alignment horizontal="center"/>
    </xf>
    <xf numFmtId="0" fontId="5" applyFont="1" fillId="0" borderId="0" xfId="0" applyAlignment="1">
      <alignment horizontal="justify" vertical="top"/>
    </xf>
    <xf numFmtId="0" fontId="2" applyFont="1" fillId="0" borderId="10" applyBorder="1" xfId="0" applyAlignment="1">
      <alignment horizontal="justify" vertical="top"/>
    </xf>
    <xf numFmtId="0" fontId="2" applyFont="1" fillId="0" borderId="11" applyBorder="1" xfId="0" applyAlignment="1">
      <alignment horizontal="justify" vertical="top"/>
    </xf>
    <xf numFmtId="0" fontId="2" applyFont="1" fillId="0" borderId="16" applyBorder="1" xfId="0" applyAlignment="1">
      <alignment horizontal="justify" vertical="top"/>
    </xf>
    <xf numFmtId="0" fontId="2" applyFont="1" fillId="0" borderId="27" applyBorder="1" xfId="0" applyAlignment="1">
      <alignment horizontal="justify" vertical="top"/>
    </xf>
    <xf numFmtId="0" fontId="2" applyFont="1" fillId="0" borderId="12" applyBorder="1" xfId="0" applyAlignment="1">
      <alignment horizontal="justify" vertical="top"/>
    </xf>
    <xf numFmtId="0" fontId="2" applyFont="1" fillId="0" borderId="13" applyBorder="1" xfId="0" applyAlignment="1">
      <alignment horizontal="justify" vertical="top"/>
    </xf>
    <xf numFmtId="0" fontId="5" applyFont="1" fillId="0" applyFill="1" borderId="10" applyBorder="1" xfId="0" applyAlignment="1">
      <alignment horizontal="justify" vertical="top" wrapText="1"/>
    </xf>
    <xf numFmtId="0" fontId="5" applyFont="1" fillId="0" applyFill="1" borderId="26" applyBorder="1" xfId="0" applyAlignment="1">
      <alignment horizontal="justify" vertical="top" wrapText="1"/>
    </xf>
    <xf numFmtId="0" fontId="5" applyFont="1" fillId="0" applyFill="1" borderId="16" applyBorder="1" xfId="0" applyAlignment="1">
      <alignment horizontal="justify" vertical="top" wrapText="1"/>
    </xf>
    <xf numFmtId="0" fontId="5" applyFont="1" fillId="0" applyFill="1" borderId="0" applyBorder="1" xfId="0" applyAlignment="1">
      <alignment horizontal="justify" vertical="top" wrapText="1"/>
    </xf>
    <xf numFmtId="0" applyNumberFormat="1" fontId="2" applyFont="1" fillId="0" applyFill="1" borderId="3" applyBorder="1" xfId="0" applyAlignment="1">
      <alignment horizontal="justify" vertical="justify" wrapText="1"/>
    </xf>
    <xf numFmtId="0" fontId="5" applyFont="1" fillId="0" applyFill="1" borderId="2" applyBorder="1" xfId="0" applyAlignment="1">
      <alignment horizontal="center"/>
    </xf>
    <xf numFmtId="0" fontId="5" applyFont="1" fillId="6" applyFill="1" borderId="2" applyBorder="1" xfId="0" applyAlignment="1">
      <alignment horizontal="center"/>
    </xf>
    <xf numFmtId="14" applyNumberFormat="1" fontId="5" applyFont="1" fillId="0" applyFill="1" borderId="2" applyBorder="1" xfId="0" applyAlignment="1">
      <alignment horizontal="center"/>
    </xf>
    <xf numFmtId="0" fontId="5" applyFont="1" fillId="0" borderId="5" applyBorder="1" xfId="0" applyAlignment="1">
      <alignment horizontal="center"/>
    </xf>
    <xf numFmtId="0" fontId="5" applyFont="1" fillId="0" borderId="7" applyBorder="1" xfId="0" applyAlignment="1">
      <alignment horizontal="center"/>
    </xf>
    <xf numFmtId="0" applyNumberFormat="1" fontId="2" applyFont="1" fillId="0" applyFill="1" borderId="3" applyBorder="1" xfId="0" applyAlignment="1">
      <alignment horizontal="justify" vertical="distributed" wrapText="1"/>
    </xf>
    <xf numFmtId="0" fontId="2" applyFont="1" fillId="0" applyFill="1" borderId="3" applyBorder="1" xfId="0" applyAlignment="1">
      <alignment horizontal="justify" vertical="top" wrapText="1"/>
    </xf>
    <xf numFmtId="0" applyNumberFormat="1" fontId="2" applyFont="1" fillId="0" applyFill="1" borderId="3" applyBorder="1" xfId="0" applyAlignment="1">
      <alignment horizontal="justify" vertical="distributed"/>
    </xf>
    <xf numFmtId="0" fontId="2" applyFont="1" fillId="0" applyFill="1" borderId="3" applyBorder="1" xfId="21" applyAlignment="1">
      <alignment horizontal="justify" vertical="justify" wrapText="1"/>
    </xf>
    <xf numFmtId="0" fontId="2" applyFont="1" fillId="0" applyFill="1" borderId="3" applyBorder="1" xfId="0" applyAlignment="1">
      <alignment horizontal="justify" vertical="justify" wrapText="1"/>
    </xf>
    <xf numFmtId="0" fontId="2" applyFont="1" fillId="0" applyFill="1" borderId="3" applyBorder="1" xfId="0" applyAlignment="1">
      <alignment wrapText="1"/>
    </xf>
    <xf numFmtId="0" fontId="40" applyFont="1" fillId="0" borderId="0" xfId="26" applyAlignment="1">
      <alignment horizontal="center" vertical="top" wrapText="1"/>
    </xf>
    <xf numFmtId="177" applyNumberFormat="1" fontId="4" applyFont="1" fillId="0" applyFill="1" borderId="0" applyBorder="1" xfId="0" applyAlignment="1">
      <alignment horizontal="center" shrinkToFit="1"/>
    </xf>
    <xf numFmtId="0" applyNumberFormat="1" fontId="2" applyFont="1" fillId="0" applyFill="1" borderId="3" applyBorder="1" xfId="0" applyAlignment="1">
      <alignment horizontal="justify" vertical="justify"/>
    </xf>
    <xf numFmtId="49" applyNumberFormat="1" fontId="9" applyFont="1" fillId="0" applyFill="1" borderId="5" applyBorder="1" xfId="20" applyAlignment="1">
      <alignment horizontal="center"/>
    </xf>
    <xf numFmtId="49" applyNumberFormat="1" fontId="9" applyFont="1" fillId="0" applyFill="1" borderId="15" applyBorder="1" xfId="20" applyAlignment="1">
      <alignment horizontal="center"/>
    </xf>
    <xf numFmtId="49" applyNumberFormat="1" fontId="9" applyFont="1" fillId="0" applyFill="1" borderId="7" applyBorder="1" xfId="20" applyAlignment="1">
      <alignment horizontal="center"/>
    </xf>
    <xf numFmtId="0" applyNumberFormat="1" fontId="9" applyFont="1" fillId="0" applyFill="1" borderId="6" applyBorder="1" xfId="20" applyAlignment="1">
      <alignment horizontal="justify" vertical="top"/>
    </xf>
    <xf numFmtId="0" applyNumberFormat="1" fontId="9" applyFont="1" fillId="0" applyFill="1" borderId="3" applyBorder="1" xfId="20" applyAlignment="1">
      <alignment horizontal="justify" vertical="top"/>
    </xf>
    <xf numFmtId="0" applyNumberFormat="1" fontId="9" applyFont="1" fillId="0" applyFill="1" borderId="2" applyBorder="1" xfId="20" applyAlignment="1">
      <alignment horizontal="justify" vertical="top"/>
    </xf>
    <xf numFmtId="11" applyNumberFormat="1" fontId="9" applyFont="1" fillId="0" applyFill="1" borderId="6" applyBorder="1" xfId="20" applyAlignment="1">
      <alignment horizontal="justify" vertical="top"/>
    </xf>
    <xf numFmtId="0" applyNumberFormat="1" fontId="9" applyFont="1" fillId="0" applyFill="1" borderId="9" applyBorder="1" xfId="20" applyAlignment="1">
      <alignment horizontal="justify" vertical="top"/>
    </xf>
    <xf numFmtId="0" applyNumberFormat="1" fontId="9" applyFont="1" fillId="0" applyFill="1" borderId="6" applyBorder="1" xfId="20" applyAlignment="1">
      <alignment horizontal="justify" vertical="justify"/>
    </xf>
    <xf numFmtId="0" applyNumberFormat="1" fontId="9" applyFont="1" fillId="0" applyFill="1" borderId="3" applyBorder="1" xfId="20" applyAlignment="1">
      <alignment horizontal="justify" vertical="justify"/>
    </xf>
    <xf numFmtId="0" fontId="3" applyFont="1" fillId="0" borderId="2" applyBorder="1" xfId="20" applyAlignment="1">
      <alignment horizontal="center" vertical="center" wrapText="1"/>
    </xf>
    <xf numFmtId="0" fontId="17" applyFont="1" fillId="0" borderId="4" applyBorder="1" xfId="20" applyAlignment="1">
      <alignment horizontal="center"/>
    </xf>
    <xf numFmtId="0" fontId="3" applyFont="1" fillId="0" borderId="2" applyBorder="1" xfId="20" applyAlignment="1">
      <alignment horizontal="center" vertical="center"/>
    </xf>
    <xf numFmtId="0" fontId="3" applyFont="1" fillId="0" borderId="2" applyBorder="1" xfId="20" applyAlignment="1">
      <alignment horizontal="center"/>
    </xf>
    <xf numFmtId="0" applyNumberFormat="1" fontId="5" applyFont="1" fillId="0" applyFill="1" borderId="6" applyBorder="1" xfId="20" applyAlignment="1">
      <alignment horizontal="justify" vertical="top"/>
    </xf>
    <xf numFmtId="0" applyNumberFormat="1" fontId="5" applyFont="1" fillId="0" applyFill="1" borderId="9" applyBorder="1" xfId="20" applyAlignment="1">
      <alignment horizontal="justify" vertical="top"/>
    </xf>
    <xf numFmtId="0" applyNumberFormat="1" fontId="9" applyFont="1" fillId="0" applyFill="1" borderId="9" applyBorder="1" xfId="20" applyAlignment="1">
      <alignment horizontal="justify" vertical="justify"/>
    </xf>
    <xf numFmtId="0" applyNumberFormat="1" fontId="9" applyFont="1" fillId="0" applyFill="1" borderId="6" applyBorder="1" xfId="20" applyAlignment="1">
      <alignment horizontal="justify" vertical="top" wrapText="1"/>
    </xf>
    <xf numFmtId="0" applyNumberFormat="1" fontId="9" applyFont="1" fillId="0" applyFill="1" borderId="3" applyBorder="1" xfId="20" applyAlignment="1">
      <alignment horizontal="justify" vertical="top" wrapText="1"/>
    </xf>
    <xf numFmtId="0" applyNumberFormat="1" fontId="9" applyFont="1" fillId="0" applyFill="1" borderId="9" applyBorder="1" xfId="20" applyAlignment="1">
      <alignment horizontal="justify" vertical="top" wrapText="1"/>
    </xf>
    <xf numFmtId="0" fontId="9" applyFont="1" fillId="0" applyFill="1" borderId="2" applyBorder="1" xfId="0" applyAlignment="1">
      <alignment horizontal="justify" vertical="top" wrapText="1"/>
    </xf>
    <xf numFmtId="0" fontId="26" applyFont="1" fillId="0" applyFill="1" borderId="2" applyBorder="1" xfId="0" applyAlignment="1">
      <alignment horizontal="justify" vertical="top" wrapText="1"/>
    </xf>
    <xf numFmtId="4" applyNumberFormat="1" fontId="8" applyFont="1" fillId="0" applyFill="1" borderId="6" applyBorder="1" xfId="27" applyAlignment="1">
      <alignment horizontal="left" vertical="top" wrapText="1"/>
    </xf>
    <xf numFmtId="4" applyNumberFormat="1" fontId="8" applyFont="1" fillId="0" applyFill="1" borderId="3" applyBorder="1" xfId="27" applyAlignment="1">
      <alignment horizontal="left" vertical="top" wrapText="1"/>
    </xf>
    <xf numFmtId="4" applyNumberFormat="1" fontId="8" applyFont="1" fillId="0" applyFill="1" borderId="9" applyBorder="1" xfId="27" applyAlignment="1">
      <alignment horizontal="left" vertical="top" wrapText="1"/>
    </xf>
    <xf numFmtId="4" applyNumberFormat="1" fontId="7" applyFont="1" fillId="0" applyFill="1" borderId="6" applyBorder="1" xfId="27" applyAlignment="1">
      <alignment horizontal="left" vertical="top" wrapText="1"/>
    </xf>
    <xf numFmtId="4" applyNumberFormat="1" fontId="8" applyFont="1" fillId="0" applyFill="1" borderId="6" applyBorder="1" xfId="27" applyAlignment="1">
      <alignment horizontal="left" vertical="justify" wrapText="1"/>
    </xf>
    <xf numFmtId="4" applyNumberFormat="1" fontId="8" applyFont="1" fillId="0" applyFill="1" borderId="3" applyBorder="1" xfId="27" applyAlignment="1">
      <alignment horizontal="left" vertical="justify" wrapText="1"/>
    </xf>
    <xf numFmtId="4" applyNumberFormat="1" fontId="8" applyFont="1" fillId="0" applyFill="1" borderId="9" applyBorder="1" xfId="27" applyAlignment="1">
      <alignment horizontal="left" vertical="justify" wrapText="1"/>
    </xf>
    <xf numFmtId="0" fontId="26" applyFont="1" fillId="0" applyFill="1" borderId="2" applyBorder="1" xfId="29" applyAlignment="1">
      <alignment horizontal="justify" vertical="top" wrapText="1"/>
    </xf>
    <xf numFmtId="0" applyNumberFormat="1" fontId="9" applyFont="1" fillId="0" applyFill="1" borderId="2" applyBorder="1" xfId="20" applyAlignment="1">
      <alignment horizontal="justify" vertical="justify"/>
    </xf>
    <xf numFmtId="1" applyNumberFormat="1" fontId="22" applyFont="1" fillId="0" borderId="0" xfId="0" applyAlignment="1">
      <alignment horizontal="center" vertical="center"/>
    </xf>
    <xf numFmtId="1" applyNumberFormat="1" fontId="4" applyFont="1" fillId="0" borderId="0" xfId="0" applyAlignment="1">
      <alignment horizontal="center" vertical="center"/>
    </xf>
    <xf numFmtId="2" applyNumberFormat="1" fontId="3" applyFont="1" fillId="0" borderId="2" applyBorder="1" xfId="20" applyAlignment="1">
      <alignment horizontal="center" vertical="center" wrapText="1"/>
    </xf>
  </cellXfs>
  <cellStyles count="34">
    <cellStyle name="Cabecera 1" xfId="1"/>
    <cellStyle name="Cabecera 2" xfId="2"/>
    <cellStyle name="Dia" xfId="3"/>
    <cellStyle name="Encabez1" xfId="4"/>
    <cellStyle name="Encabez2" xfId="5"/>
    <cellStyle name="Euro" xfId="6"/>
    <cellStyle name="Euro 2" xfId="7"/>
    <cellStyle name="Euro_PRESUP.ESPERANZA DE LOS P." xfId="8"/>
    <cellStyle name="Fecha" xfId="9"/>
    <cellStyle name="Fijo" xfId="10"/>
    <cellStyle name="Financiero" xfId="11"/>
    <cellStyle name="Millares 2" xfId="12"/>
    <cellStyle name="Millares 3" xfId="13"/>
    <cellStyle name="Moneda" xfId="14" builtinId="4"/>
    <cellStyle name="Moneda 10" xfId="15"/>
    <cellStyle name="Moneda 2" xfId="16"/>
    <cellStyle name="Monetario" xfId="17"/>
    <cellStyle name="Monetario0" xfId="18"/>
    <cellStyle name="Normal" xfId="0" builtinId="0"/>
    <cellStyle name="Normal 10 2" xfId="19"/>
    <cellStyle name="Normal 2" xfId="20"/>
    <cellStyle name="Normal 2 2 2 3" xfId="21"/>
    <cellStyle name="Normal 3" xfId="22"/>
    <cellStyle name="Normal 3 2 3" xfId="23"/>
    <cellStyle name="Normal 3 4" xfId="24"/>
    <cellStyle name="Normal 4 5" xfId="25"/>
    <cellStyle name="Normal 5" xfId="26"/>
    <cellStyle name="Normal_Generador 2" xfId="27"/>
    <cellStyle name="Normal_Generador 2 2" xfId="28"/>
    <cellStyle name="Normal_PRESUO-TIENTIUL" xfId="29"/>
    <cellStyle name="Porcentual" xfId="30" builtinId="5"/>
    <cellStyle name="Porcentual 2" xfId="31"/>
    <cellStyle name="Punto0" xfId="32"/>
    <cellStyle name="Total" xfId="33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142875</xdr:rowOff>
    </xdr:from>
    <xdr:to>
      <xdr:col>6</xdr:col>
      <xdr:colOff>0</xdr:colOff>
      <xdr:row>23</xdr:row>
      <xdr:rowOff>142875</xdr:rowOff>
    </xdr:to>
    <xdr:sp macro="" textlink="">
      <xdr:nvSpPr>
        <xdr:cNvPr id="73898" name="Line 1"/>
        <xdr:cNvSpPr>
          <a:spLocks noChangeShapeType="1"/>
        </xdr:cNvSpPr>
      </xdr:nvSpPr>
      <xdr:spPr bwMode="auto">
        <a:xfrm>
          <a:off x="8572500" y="4400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0</xdr:colOff>
      <xdr:row>20</xdr:row>
      <xdr:rowOff>0</xdr:rowOff>
    </xdr:to>
    <xdr:sp macro="" textlink="">
      <xdr:nvSpPr>
        <xdr:cNvPr id="73899" name="Line 3"/>
        <xdr:cNvSpPr>
          <a:spLocks noChangeShapeType="1"/>
        </xdr:cNvSpPr>
      </xdr:nvSpPr>
      <xdr:spPr bwMode="auto">
        <a:xfrm>
          <a:off x="8572500" y="368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68042" name="Rectangle 9"/>
        <xdr:cNvSpPr>
          <a:spLocks noChangeArrowheads="1"/>
        </xdr:cNvSpPr>
      </xdr:nvSpPr>
      <xdr:spPr bwMode="auto">
        <a:xfrm>
          <a:off x="8448675" y="28765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s-MX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0.45</a:t>
          </a:r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68074" name="Rectangle 41"/>
        <xdr:cNvSpPr>
          <a:spLocks noChangeArrowheads="1"/>
        </xdr:cNvSpPr>
      </xdr:nvSpPr>
      <xdr:spPr bwMode="auto">
        <a:xfrm>
          <a:off x="8448675" y="28765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s-MX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0.45</a:t>
          </a:r>
        </a:p>
      </xdr:txBody>
    </xdr:sp>
    <xdr:clientData/>
  </xdr:twoCellAnchor>
  <xdr:twoCellAnchor>
    <xdr:from>
      <xdr:col>6</xdr:col>
      <xdr:colOff>0</xdr:colOff>
      <xdr:row>23</xdr:row>
      <xdr:rowOff>142875</xdr:rowOff>
    </xdr:from>
    <xdr:to>
      <xdr:col>6</xdr:col>
      <xdr:colOff>0</xdr:colOff>
      <xdr:row>23</xdr:row>
      <xdr:rowOff>142875</xdr:rowOff>
    </xdr:to>
    <xdr:sp macro="" textlink="">
      <xdr:nvSpPr>
        <xdr:cNvPr id="73902" name="Line 1"/>
        <xdr:cNvSpPr>
          <a:spLocks noChangeShapeType="1"/>
        </xdr:cNvSpPr>
      </xdr:nvSpPr>
      <xdr:spPr bwMode="auto">
        <a:xfrm>
          <a:off x="8572500" y="4400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1</xdr:col>
      <xdr:colOff>638175</xdr:colOff>
      <xdr:row>4</xdr:row>
      <xdr:rowOff>133350</xdr:rowOff>
    </xdr:to>
    <xdr:pic>
      <xdr:nvPicPr>
        <xdr:cNvPr id="74820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7150"/>
          <a:ext cx="13620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809625</xdr:colOff>
      <xdr:row>0</xdr:row>
      <xdr:rowOff>38100</xdr:rowOff>
    </xdr:from>
    <xdr:to>
      <xdr:col>11</xdr:col>
      <xdr:colOff>1609725</xdr:colOff>
      <xdr:row>5</xdr:row>
      <xdr:rowOff>57150</xdr:rowOff>
    </xdr:to>
    <xdr:pic>
      <xdr:nvPicPr>
        <xdr:cNvPr id="74821" name="Imagen 8" descr="Descripción: C:\Users\PC3\Desktop\1200px-Coat_of_arms_of_Chiapas.svg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020675" y="38100"/>
          <a:ext cx="8001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E:\Documents%20and%20Settings\ADMIN\Mis%20documentos\BACHEO%20DE%20CALLES%202008\FORMATO%20EXPEDIENTE%20PIM%202008.xls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E:\Documents%20and%20Settings\Administrador\Escritorio\pavimentacion%20la%20independencia\GENERADOR.xls" TargetMode="External"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E:\GENIO%202006\LIC.%20ROBERTO%20ROMAN%20C\MUC-AQUIL\PRESUPUESTO%20%20(MUC-AQUIL).xls" TargetMode="External"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E:\Documents%20and%20Settings\Carlos%20A%20Cruz%20Gumeta\Escritorio\PROYECTO%20MILENIO%20DRENAJE%20Y%20CALLES\EXP.%20drenaje%20Y%20CALLES%20mileni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dores"/>
      <sheetName val="Presupuesto"/>
      <sheetName val="ET 1"/>
      <sheetName val="ARC "/>
      <sheetName val="ET5 "/>
      <sheetName val="ET6 "/>
      <sheetName val="MACRO"/>
      <sheetName val="MICRO"/>
      <sheetName val="PROG"/>
      <sheetName val="PORTADA"/>
      <sheetName val="PORT. com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dor (2)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VLETRAS"/>
      <sheetName val="PRESUP"/>
      <sheetName val="RESUMEN"/>
      <sheetName val="generadores"/>
      <sheetName val="programa"/>
      <sheetName val="CLASIFICACION"/>
      <sheetName val="CATALOG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T 1 (2)"/>
      <sheetName val="ARC "/>
      <sheetName val="Presupuesto"/>
      <sheetName val="Generador"/>
      <sheetName val="CROQUIS"/>
      <sheetName val="ET5 "/>
      <sheetName val="ET6 "/>
      <sheetName val="MACRO"/>
      <sheetName val="MICRO"/>
      <sheetName val="PORTADA"/>
      <sheetName val="PROGRAMA DE OBRA"/>
    </sheetNames>
    <sheetDataSet>
      <sheetData sheetId="0" refreshError="1"/>
      <sheetData sheetId="1"/>
      <sheetData sheetId="2" refreshError="1">
        <row r="26">
          <cell r="D26" t="str">
            <v>M3</v>
          </cell>
        </row>
        <row r="110">
          <cell r="B110" t="str">
            <v>A1121</v>
          </cell>
          <cell r="C110" t="str">
            <v>Sum. e Inst. Tuberia pvc Hidraulico y Sanitario</v>
          </cell>
        </row>
        <row r="111">
          <cell r="B111" t="str">
            <v>A112102</v>
          </cell>
          <cell r="C111" t="str">
            <v>Sum. e Inst. de Tuberia PVC Sanitario</v>
          </cell>
        </row>
        <row r="133">
          <cell r="B133" t="str">
            <v>A1205</v>
          </cell>
          <cell r="C133" t="str">
            <v>Pozos de Visita</v>
          </cell>
        </row>
        <row r="134">
          <cell r="D134" t="str">
            <v>PZA</v>
          </cell>
        </row>
        <row r="273">
          <cell r="B273">
            <v>1123001581</v>
          </cell>
          <cell r="C273" t="str">
            <v>SUMINISTRO Y COLOCACION DE BROCALES PARA POZO DE VISITA PESADO CIEGO DE 60 CMS. DIAM. DE 165 KG INCLUYE TODO LO NECESARIO PARA SU CORRECTA EJECUCION.</v>
          </cell>
          <cell r="D273" t="str">
            <v>PZA</v>
          </cell>
        </row>
        <row r="308">
          <cell r="C308" t="str">
            <v>DESCARGAS DOMICILIARIAS</v>
          </cell>
        </row>
        <row r="309">
          <cell r="B309" t="str">
            <v>A1011</v>
          </cell>
          <cell r="C309" t="str">
            <v>EXCAVACION EN ZANJA</v>
          </cell>
        </row>
        <row r="311">
          <cell r="D311" t="str">
            <v>M3</v>
          </cell>
        </row>
        <row r="323">
          <cell r="B323" t="str">
            <v>A1020</v>
          </cell>
          <cell r="C323" t="str">
            <v>RELLENOS</v>
          </cell>
        </row>
        <row r="325">
          <cell r="D325" t="str">
            <v>M3</v>
          </cell>
        </row>
        <row r="335">
          <cell r="D335" t="str">
            <v>M3</v>
          </cell>
        </row>
        <row r="342">
          <cell r="D342" t="str">
            <v>M3</v>
          </cell>
        </row>
        <row r="391">
          <cell r="D391" t="str">
            <v>PZA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 ">
  <sheetPr codeName="Hoja1"/>
  <dimension ref="A2:F275"/>
  <sheetViews>
    <sheetView tabSelected="1" view="pageBreakPreview" zoomScale="93" zoomScaleNormal="75" zoomScaleSheetLayoutView="93" workbookViewId="0">
      <selection activeCell="D35" sqref="D35:E35"/>
    </sheetView>
  </sheetViews>
  <sheetFormatPr baseColWidth="10" defaultRowHeight="9"/>
  <cols>
    <col min="1" max="1" width="12.42578125" customWidth="1" style="2"/>
    <col min="2" max="2" width="60.85546875" customWidth="1" style="2"/>
    <col min="3" max="3" width="12" customWidth="1" style="2"/>
    <col min="4" max="4" width="14.85546875" customWidth="1" style="4"/>
    <col min="5" max="5" width="13.85546875" customWidth="1" style="5"/>
    <col min="6" max="6" width="14.5703125" customWidth="1" style="6"/>
    <col min="7" max="16384" width="11.42578125" customWidth="1" style="2"/>
  </cols>
  <sheetData>
    <row r="2" ht="12">
      <c r="A2" s="364" t="s">
        <v>0</v>
      </c>
      <c r="B2" s="364"/>
      <c r="C2" s="364"/>
      <c r="D2" s="364"/>
      <c r="E2" s="364"/>
      <c r="F2" s="364"/>
    </row>
    <row r="3" ht="12">
      <c r="A3" s="364" t="s">
        <v>1</v>
      </c>
      <c r="B3" s="364"/>
      <c r="C3" s="364"/>
      <c r="D3" s="364"/>
      <c r="E3" s="364"/>
      <c r="F3" s="364"/>
    </row>
    <row r="4" ht="12">
      <c r="A4" s="180"/>
      <c r="B4" s="181"/>
      <c r="C4" s="365" t="s">
        <v>2</v>
      </c>
      <c r="D4" s="365"/>
      <c r="E4" s="182" t="s">
        <v>3</v>
      </c>
      <c r="F4" s="183"/>
    </row>
    <row r="5" ht="12">
      <c r="A5" s="180"/>
      <c r="B5" s="181"/>
      <c r="C5" s="182" t="s">
        <v>4</v>
      </c>
      <c r="D5" s="301"/>
      <c r="E5" s="184"/>
      <c r="F5" s="184"/>
    </row>
    <row r="6" ht="12">
      <c r="A6" s="180"/>
      <c r="B6" s="181"/>
      <c r="C6" s="182" t="s">
        <v>5</v>
      </c>
      <c r="D6" s="182"/>
      <c r="E6" s="300"/>
      <c r="F6" s="185" t="s">
        <v>6</v>
      </c>
    </row>
    <row r="7" ht="12">
      <c r="A7" s="180"/>
      <c r="B7" s="181"/>
      <c r="C7" s="182" t="s">
        <v>7</v>
      </c>
      <c r="D7" s="366" t="s">
        <v>8</v>
      </c>
      <c r="E7" s="367"/>
      <c r="F7" s="367"/>
    </row>
    <row r="8" ht="12">
      <c r="A8" s="368" t="s">
        <v>9</v>
      </c>
      <c r="B8" s="368"/>
      <c r="C8" s="368"/>
      <c r="D8" s="368"/>
      <c r="E8" s="368"/>
      <c r="F8" s="368"/>
    </row>
    <row r="9" ht="12">
      <c r="A9" s="180"/>
      <c r="B9" s="181"/>
      <c r="C9" s="181"/>
      <c r="D9" s="181"/>
      <c r="E9" s="181"/>
      <c r="F9" s="186"/>
    </row>
    <row r="10" ht="12">
      <c r="A10" s="187" t="s">
        <v>10</v>
      </c>
      <c r="B10" s="181" t="s">
        <v>11</v>
      </c>
      <c r="C10" s="187" t="s">
        <v>10</v>
      </c>
      <c r="D10" s="181" t="s">
        <v>11</v>
      </c>
      <c r="E10" s="181"/>
      <c r="F10" s="186"/>
    </row>
    <row r="11" ht="12">
      <c r="A11" s="188"/>
      <c r="B11" s="181"/>
      <c r="C11" s="181"/>
      <c r="D11" s="181"/>
      <c r="E11" s="181"/>
      <c r="F11" s="186"/>
    </row>
    <row r="12">
      <c r="A12" s="369" t="s">
        <v>12</v>
      </c>
      <c r="B12" s="346" t="s">
        <v>13</v>
      </c>
      <c r="C12" s="347"/>
      <c r="D12" s="347"/>
      <c r="E12" s="347"/>
      <c r="F12" s="347"/>
    </row>
    <row r="13" ht="21" customHeight="1">
      <c r="A13" s="369"/>
      <c r="B13" s="347"/>
      <c r="C13" s="347"/>
      <c r="D13" s="347"/>
      <c r="E13" s="347"/>
      <c r="F13" s="347"/>
    </row>
    <row r="14" ht="12">
      <c r="A14" s="187" t="s">
        <v>14</v>
      </c>
      <c r="B14" s="181"/>
      <c r="C14" s="189" t="s">
        <v>15</v>
      </c>
      <c r="D14" s="228" t="s">
        <v>16</v>
      </c>
      <c r="E14" s="181"/>
      <c r="F14" s="186"/>
    </row>
    <row r="15" ht="12">
      <c r="A15" s="187" t="s">
        <v>17</v>
      </c>
      <c r="B15" s="181" t="s">
        <v>18</v>
      </c>
      <c r="C15" s="189" t="s">
        <v>19</v>
      </c>
      <c r="D15" s="348" t="s">
        <v>20</v>
      </c>
      <c r="E15" s="348"/>
      <c r="F15" s="348"/>
    </row>
    <row r="16" ht="12">
      <c r="A16" s="180"/>
      <c r="B16" s="181"/>
      <c r="C16" s="181"/>
      <c r="D16" s="181"/>
      <c r="E16" s="181"/>
      <c r="F16" s="186"/>
    </row>
    <row r="17" ht="12">
      <c r="A17" s="361" t="s">
        <v>21</v>
      </c>
      <c r="B17" s="361"/>
      <c r="C17" s="361"/>
      <c r="D17" s="361"/>
      <c r="E17" s="361"/>
      <c r="F17" s="361"/>
    </row>
    <row r="18" ht="12">
      <c r="A18" s="357" t="s">
        <v>22</v>
      </c>
      <c r="B18" s="358"/>
      <c r="C18" s="359" t="s">
        <v>23</v>
      </c>
      <c r="D18" s="359"/>
      <c r="E18" s="360" t="s">
        <v>24</v>
      </c>
      <c r="F18" s="360"/>
    </row>
    <row r="19" ht="48" customHeight="1">
      <c r="A19" s="190" t="s">
        <v>25</v>
      </c>
      <c r="B19" s="181"/>
      <c r="C19" s="191" t="s">
        <v>26</v>
      </c>
      <c r="D19" s="217">
        <v>36524.25</v>
      </c>
      <c r="E19" s="191" t="s">
        <v>26</v>
      </c>
      <c r="F19" s="192">
        <v>-36524.25</v>
      </c>
    </row>
    <row r="20" ht="23.25" customHeight="1">
      <c r="A20" s="187" t="s">
        <v>27</v>
      </c>
      <c r="B20" s="193"/>
      <c r="C20" s="208" t="s">
        <v>28</v>
      </c>
      <c r="D20" s="217">
        <f>D19</f>
        <v>0</v>
      </c>
      <c r="E20" s="208" t="s">
        <v>28</v>
      </c>
      <c r="F20" s="217">
        <v>-36524.25</v>
      </c>
    </row>
    <row r="21" ht="16.5" customHeight="1">
      <c r="A21" s="361" t="s">
        <v>29</v>
      </c>
      <c r="B21" s="361"/>
      <c r="C21" s="361"/>
      <c r="D21" s="361"/>
      <c r="E21" s="361"/>
      <c r="F21" s="361"/>
    </row>
    <row r="22" ht="15.75" customHeight="1">
      <c r="A22" s="357" t="s">
        <v>30</v>
      </c>
      <c r="B22" s="357"/>
      <c r="C22" s="362" t="s">
        <v>31</v>
      </c>
      <c r="D22" s="363"/>
      <c r="E22" s="363"/>
      <c r="F22" s="363"/>
    </row>
    <row r="23" ht="12.75">
      <c r="A23" s="194" t="s">
        <v>32</v>
      </c>
      <c r="B23" s="195" t="s">
        <v>33</v>
      </c>
      <c r="C23" s="207" t="s">
        <v>34</v>
      </c>
      <c r="D23" s="360" t="s">
        <v>35</v>
      </c>
      <c r="E23" s="360"/>
      <c r="F23" s="196" t="s">
        <v>36</v>
      </c>
    </row>
    <row r="24" ht="12.75" customHeight="1">
      <c r="A24" s="197" t="s">
        <v>37</v>
      </c>
      <c r="B24" s="198" t="s">
        <v>38</v>
      </c>
      <c r="C24" s="199" t="s">
        <v>39</v>
      </c>
      <c r="D24" s="381" t="s">
        <v>40</v>
      </c>
      <c r="E24" s="381"/>
      <c r="F24" s="206" t="s">
        <v>41</v>
      </c>
    </row>
    <row r="25" ht="12.75">
      <c r="A25" s="382" t="s">
        <v>42</v>
      </c>
      <c r="B25" s="382"/>
      <c r="C25" s="307" t="s">
        <v>43</v>
      </c>
      <c r="D25" s="383" t="s">
        <v>44</v>
      </c>
      <c r="E25" s="383"/>
      <c r="F25" s="206"/>
    </row>
    <row r="26" ht="12.75">
      <c r="A26" s="384" t="s">
        <v>45</v>
      </c>
      <c r="B26" s="385"/>
      <c r="C26" s="200"/>
      <c r="D26" s="205"/>
      <c r="E26" s="205"/>
      <c r="F26" s="206"/>
    </row>
    <row r="27" ht="14.25" customHeight="1">
      <c r="A27" s="349" t="s">
        <v>46</v>
      </c>
      <c r="B27" s="350"/>
      <c r="C27" s="351" t="s">
        <v>47</v>
      </c>
      <c r="D27" s="352"/>
      <c r="E27" s="352"/>
      <c r="F27" s="352"/>
    </row>
    <row r="28" ht="14.25" customHeight="1" s="119" customFormat="1">
      <c r="A28" s="353" t="s">
        <v>48</v>
      </c>
      <c r="B28" s="354"/>
      <c r="C28" s="376" t="s">
        <v>49</v>
      </c>
      <c r="D28" s="377"/>
      <c r="E28" s="377"/>
      <c r="F28" s="377"/>
    </row>
    <row r="29" ht="14.25" customHeight="1" s="119" customFormat="1">
      <c r="A29" s="355"/>
      <c r="B29" s="356"/>
      <c r="C29" s="378"/>
      <c r="D29" s="379"/>
      <c r="E29" s="379"/>
      <c r="F29" s="379"/>
    </row>
    <row r="30" ht="12.75" s="119" customFormat="1">
      <c r="A30" s="349" t="s">
        <v>50</v>
      </c>
      <c r="B30" s="350"/>
      <c r="C30" s="378"/>
      <c r="D30" s="379"/>
      <c r="E30" s="379"/>
      <c r="F30" s="379"/>
    </row>
    <row r="31" ht="12.75" customHeight="1" s="119" customFormat="1">
      <c r="A31" s="370" t="s">
        <v>13</v>
      </c>
      <c r="B31" s="371"/>
      <c r="C31" s="378"/>
      <c r="D31" s="379"/>
      <c r="E31" s="379"/>
      <c r="F31" s="379"/>
    </row>
    <row r="32" ht="12.75" s="119" customFormat="1">
      <c r="A32" s="372"/>
      <c r="B32" s="373"/>
      <c r="C32" s="378"/>
      <c r="D32" s="379"/>
      <c r="E32" s="379"/>
      <c r="F32" s="379"/>
    </row>
    <row r="33" ht="17.25" customHeight="1">
      <c r="A33" s="372"/>
      <c r="B33" s="373"/>
      <c r="C33" s="378"/>
      <c r="D33" s="379"/>
      <c r="E33" s="379"/>
      <c r="F33" s="379"/>
    </row>
    <row r="34" ht="17.25" customHeight="1">
      <c r="A34" s="372"/>
      <c r="B34" s="373"/>
      <c r="C34" s="202"/>
      <c r="D34" s="189"/>
      <c r="E34" s="189"/>
      <c r="F34" s="189"/>
    </row>
    <row r="35" ht="17.25" customHeight="1">
      <c r="A35" s="372"/>
      <c r="B35" s="373"/>
      <c r="C35" s="201"/>
      <c r="D35" s="364" t="s">
        <v>51</v>
      </c>
      <c r="E35" s="364"/>
      <c r="F35" s="189"/>
    </row>
    <row r="36" ht="17.25" customHeight="1">
      <c r="A36" s="372"/>
      <c r="B36" s="373"/>
      <c r="C36" s="202"/>
      <c r="D36" s="189" t="s">
        <v>52</v>
      </c>
      <c r="E36" s="189" t="s">
        <v>53</v>
      </c>
      <c r="F36" s="189"/>
    </row>
    <row r="37" ht="18.75" customHeight="1">
      <c r="A37" s="374"/>
      <c r="B37" s="375"/>
      <c r="C37" s="203"/>
      <c r="D37" s="204"/>
      <c r="E37" s="204"/>
      <c r="F37" s="204"/>
    </row>
    <row r="38" ht="12.75" customHeight="1">
      <c r="A38" s="229"/>
      <c r="B38" s="230"/>
      <c r="C38" s="231"/>
      <c r="D38" s="232"/>
      <c r="E38" s="233"/>
      <c r="F38" s="234"/>
    </row>
    <row r="39" ht="12.75" customHeight="1">
      <c r="A39" s="235"/>
      <c r="B39" s="236"/>
      <c r="C39" s="237"/>
      <c r="D39" s="238"/>
      <c r="E39" s="239"/>
      <c r="F39" s="240"/>
    </row>
    <row r="40" ht="12" customHeight="1">
      <c r="A40" s="241"/>
      <c r="B40" s="380"/>
      <c r="C40" s="243"/>
      <c r="D40" s="244"/>
      <c r="E40" s="245"/>
      <c r="F40" s="246"/>
    </row>
    <row r="41" ht="12" customHeight="1">
      <c r="A41" s="247"/>
      <c r="B41" s="380"/>
      <c r="C41" s="249"/>
      <c r="D41" s="250"/>
      <c r="E41" s="245"/>
      <c r="F41" s="240"/>
    </row>
    <row r="42" ht="11.25">
      <c r="A42" s="251"/>
      <c r="B42" s="248"/>
      <c r="C42" s="243"/>
      <c r="D42" s="250"/>
      <c r="E42" s="245"/>
      <c r="F42" s="240"/>
    </row>
    <row r="43" ht="12.75" customHeight="1">
      <c r="A43" s="241"/>
      <c r="B43" s="380"/>
      <c r="C43" s="243"/>
      <c r="D43" s="238"/>
      <c r="E43" s="245"/>
      <c r="F43" s="246"/>
    </row>
    <row r="44" ht="11.25">
      <c r="A44" s="252"/>
      <c r="B44" s="380"/>
      <c r="C44" s="243"/>
      <c r="D44" s="250"/>
      <c r="E44" s="245"/>
      <c r="F44" s="240"/>
    </row>
    <row r="45" ht="11.25">
      <c r="A45" s="252"/>
      <c r="B45" s="380"/>
      <c r="C45" s="243"/>
      <c r="D45" s="250"/>
      <c r="E45" s="245"/>
      <c r="F45" s="240"/>
    </row>
    <row r="46" ht="11.25">
      <c r="A46" s="252"/>
      <c r="B46" s="380"/>
      <c r="C46" s="243"/>
      <c r="D46" s="238"/>
      <c r="E46" s="239"/>
      <c r="F46" s="240"/>
    </row>
    <row r="47" ht="11.25">
      <c r="A47" s="253"/>
      <c r="B47" s="380"/>
      <c r="C47" s="243"/>
      <c r="D47" s="250"/>
      <c r="E47" s="239"/>
      <c r="F47" s="240"/>
    </row>
    <row r="48" ht="11.25">
      <c r="A48" s="253"/>
      <c r="B48" s="242"/>
      <c r="C48" s="243"/>
      <c r="D48" s="250"/>
      <c r="E48" s="239"/>
      <c r="F48" s="240"/>
    </row>
    <row r="49" ht="9.75" customHeight="1">
      <c r="A49" s="253"/>
      <c r="B49" s="380"/>
      <c r="C49" s="243"/>
      <c r="D49" s="250"/>
      <c r="E49" s="239"/>
      <c r="F49" s="246"/>
    </row>
    <row r="50" ht="11.25">
      <c r="A50" s="253"/>
      <c r="B50" s="380"/>
      <c r="C50" s="243"/>
      <c r="D50" s="250"/>
      <c r="E50" s="239"/>
      <c r="F50" s="240"/>
    </row>
    <row r="51" ht="11.25">
      <c r="A51" s="253"/>
      <c r="B51" s="380"/>
      <c r="C51" s="243"/>
      <c r="D51" s="250"/>
      <c r="E51" s="239"/>
      <c r="F51" s="240"/>
    </row>
    <row r="52" ht="11.25">
      <c r="A52" s="253"/>
      <c r="B52" s="380"/>
      <c r="C52" s="243"/>
      <c r="D52" s="250"/>
      <c r="E52" s="239"/>
      <c r="F52" s="240"/>
    </row>
    <row r="53" ht="11.25">
      <c r="A53" s="253"/>
      <c r="B53" s="380"/>
      <c r="C53" s="243"/>
      <c r="D53" s="250"/>
      <c r="E53" s="239"/>
      <c r="F53" s="240"/>
    </row>
    <row r="54" ht="11.25">
      <c r="A54" s="253"/>
      <c r="B54" s="242"/>
      <c r="C54" s="243"/>
      <c r="D54" s="250"/>
      <c r="E54" s="239"/>
      <c r="F54" s="240"/>
    </row>
    <row r="55" ht="12" customHeight="1">
      <c r="A55" s="252"/>
      <c r="B55" s="390"/>
      <c r="C55" s="249"/>
      <c r="D55" s="238"/>
      <c r="E55" s="239"/>
      <c r="F55" s="246"/>
    </row>
    <row r="56" ht="12" customHeight="1">
      <c r="A56" s="252"/>
      <c r="B56" s="390"/>
      <c r="C56" s="255"/>
      <c r="D56" s="225"/>
      <c r="E56" s="239"/>
      <c r="F56" s="246"/>
    </row>
    <row r="57" ht="12" customHeight="1">
      <c r="A57" s="252"/>
      <c r="B57" s="390"/>
      <c r="C57" s="255"/>
      <c r="D57" s="244"/>
      <c r="E57" s="239"/>
      <c r="F57" s="240"/>
    </row>
    <row r="58" ht="12" customHeight="1">
      <c r="A58" s="252"/>
      <c r="B58" s="390"/>
      <c r="C58" s="255"/>
      <c r="D58" s="225"/>
      <c r="E58" s="245"/>
      <c r="F58" s="246"/>
    </row>
    <row r="59" ht="12" customHeight="1">
      <c r="A59" s="252"/>
      <c r="B59" s="390"/>
      <c r="C59" s="255"/>
      <c r="D59" s="225"/>
      <c r="E59" s="245"/>
      <c r="F59" s="246"/>
    </row>
    <row r="60" ht="12" customHeight="1">
      <c r="A60" s="252"/>
      <c r="B60" s="390"/>
      <c r="C60" s="255"/>
      <c r="D60" s="225"/>
      <c r="E60" s="245"/>
      <c r="F60" s="246"/>
    </row>
    <row r="61" ht="12" customHeight="1">
      <c r="A61" s="252"/>
      <c r="B61" s="390"/>
      <c r="C61" s="255"/>
      <c r="D61" s="225"/>
      <c r="E61" s="245"/>
      <c r="F61" s="246"/>
    </row>
    <row r="62" ht="12" customHeight="1">
      <c r="A62" s="252"/>
      <c r="B62" s="390"/>
      <c r="C62" s="255"/>
      <c r="D62" s="225"/>
      <c r="E62" s="245"/>
      <c r="F62" s="246"/>
    </row>
    <row r="63" ht="11.25">
      <c r="A63" s="224"/>
      <c r="B63" s="256"/>
      <c r="C63" s="223"/>
      <c r="D63" s="250"/>
      <c r="E63" s="245"/>
      <c r="F63" s="246"/>
    </row>
    <row r="64" ht="11.25" customHeight="1">
      <c r="A64" s="257"/>
      <c r="B64" s="387"/>
      <c r="C64" s="258"/>
      <c r="D64" s="238"/>
      <c r="E64" s="245"/>
      <c r="F64" s="246"/>
    </row>
    <row r="65" ht="12.75" customHeight="1">
      <c r="A65" s="257"/>
      <c r="B65" s="387"/>
      <c r="C65" s="258"/>
      <c r="D65" s="238"/>
      <c r="E65" s="245"/>
      <c r="F65" s="240"/>
    </row>
    <row r="66" ht="11.25">
      <c r="A66" s="257"/>
      <c r="B66" s="387"/>
      <c r="C66" s="258"/>
      <c r="D66" s="238"/>
      <c r="E66" s="245"/>
      <c r="F66" s="240"/>
    </row>
    <row r="67" ht="12" customHeight="1">
      <c r="A67" s="257"/>
      <c r="B67" s="387"/>
      <c r="C67" s="258"/>
      <c r="D67" s="238"/>
      <c r="E67" s="245"/>
      <c r="F67" s="240"/>
    </row>
    <row r="68" ht="11.25">
      <c r="A68" s="257"/>
      <c r="B68" s="387"/>
      <c r="C68" s="258"/>
      <c r="D68" s="238"/>
      <c r="E68" s="245"/>
      <c r="F68" s="240"/>
    </row>
    <row r="69" ht="11.25">
      <c r="A69" s="257"/>
      <c r="B69" s="387"/>
      <c r="C69" s="258"/>
      <c r="D69" s="238"/>
      <c r="E69" s="245"/>
      <c r="F69" s="240"/>
    </row>
    <row r="70" ht="11.25">
      <c r="A70" s="257"/>
      <c r="B70" s="387"/>
      <c r="C70" s="258"/>
      <c r="D70" s="238"/>
      <c r="E70" s="245"/>
      <c r="F70" s="240"/>
    </row>
    <row r="71" ht="11.25">
      <c r="A71" s="257"/>
      <c r="B71" s="292"/>
      <c r="C71" s="258"/>
      <c r="D71" s="238"/>
      <c r="E71" s="245"/>
      <c r="F71" s="240"/>
    </row>
    <row r="72" ht="11.25">
      <c r="A72" s="259"/>
      <c r="B72" s="260"/>
      <c r="C72" s="243"/>
      <c r="D72" s="250"/>
      <c r="E72" s="245"/>
      <c r="F72" s="246"/>
    </row>
    <row r="73" ht="12" customHeight="1">
      <c r="A73" s="261"/>
      <c r="B73" s="380"/>
      <c r="C73" s="243"/>
      <c r="D73" s="238"/>
      <c r="E73" s="245"/>
      <c r="F73" s="246"/>
    </row>
    <row r="74" ht="11.25">
      <c r="A74" s="252"/>
      <c r="B74" s="380"/>
      <c r="C74" s="243"/>
      <c r="D74" s="250"/>
      <c r="E74" s="245"/>
      <c r="F74" s="246"/>
    </row>
    <row r="75" ht="11.25">
      <c r="A75" s="252"/>
      <c r="B75" s="380"/>
      <c r="C75" s="243"/>
      <c r="D75" s="250"/>
      <c r="E75" s="245"/>
      <c r="F75" s="246"/>
    </row>
    <row r="76" ht="12.75" customHeight="1">
      <c r="A76" s="259"/>
      <c r="B76" s="262"/>
      <c r="C76" s="243"/>
      <c r="D76" s="250"/>
      <c r="E76" s="245"/>
      <c r="F76" s="246"/>
    </row>
    <row r="77" ht="11.25">
      <c r="A77" s="241"/>
      <c r="B77" s="380"/>
      <c r="C77" s="243"/>
      <c r="D77" s="238"/>
      <c r="E77" s="245"/>
      <c r="F77" s="246"/>
    </row>
    <row r="78" ht="12" customHeight="1">
      <c r="A78" s="252"/>
      <c r="B78" s="380"/>
      <c r="C78" s="243"/>
      <c r="D78" s="238"/>
      <c r="E78" s="245"/>
      <c r="F78" s="246"/>
    </row>
    <row r="79" ht="11.25">
      <c r="A79" s="252"/>
      <c r="B79" s="380"/>
      <c r="C79" s="243"/>
      <c r="D79" s="238"/>
      <c r="E79" s="245"/>
      <c r="F79" s="246"/>
    </row>
    <row r="80" ht="12">
      <c r="A80" s="252"/>
      <c r="B80" s="380"/>
      <c r="C80" s="243"/>
      <c r="D80" s="238"/>
      <c r="E80" s="245"/>
      <c r="F80" s="246"/>
    </row>
    <row r="81" ht="11.25">
      <c r="A81" s="291"/>
      <c r="B81" s="313"/>
      <c r="C81" s="314"/>
      <c r="D81" s="265"/>
      <c r="E81" s="315"/>
      <c r="F81" s="266"/>
    </row>
    <row r="82" ht="11.25">
      <c r="A82" s="252"/>
      <c r="B82" s="242"/>
      <c r="C82" s="243"/>
      <c r="D82" s="238"/>
      <c r="E82" s="311"/>
      <c r="F82" s="246"/>
    </row>
    <row r="83" ht="11.25">
      <c r="A83" s="252"/>
      <c r="B83" s="242"/>
      <c r="C83" s="243"/>
      <c r="D83" s="238"/>
      <c r="E83" s="245"/>
      <c r="F83" s="246"/>
    </row>
    <row r="84" ht="11.25">
      <c r="A84" s="252"/>
      <c r="B84" s="312"/>
      <c r="C84" s="243"/>
      <c r="D84" s="238"/>
      <c r="E84" s="245"/>
      <c r="F84" s="246"/>
    </row>
    <row r="85" ht="11.25">
      <c r="A85" s="252"/>
      <c r="B85" s="312"/>
      <c r="C85" s="243"/>
      <c r="D85" s="238"/>
      <c r="E85" s="245"/>
      <c r="F85" s="246"/>
    </row>
    <row r="86" ht="12">
      <c r="A86" s="316"/>
      <c r="B86" s="317"/>
      <c r="C86" s="318"/>
      <c r="D86" s="319"/>
      <c r="E86" s="320"/>
      <c r="F86" s="321"/>
    </row>
    <row r="87" ht="11.25">
      <c r="A87" s="263"/>
      <c r="B87" s="327"/>
      <c r="C87" s="264"/>
      <c r="D87" s="265"/>
      <c r="E87" s="233"/>
      <c r="F87" s="266"/>
    </row>
    <row r="88" ht="11.25">
      <c r="A88" s="241"/>
      <c r="B88" s="380"/>
      <c r="C88" s="243"/>
      <c r="D88" s="238"/>
      <c r="E88" s="245"/>
      <c r="F88" s="246"/>
    </row>
    <row r="89" ht="11.25">
      <c r="A89" s="267"/>
      <c r="B89" s="380"/>
      <c r="C89" s="268"/>
      <c r="D89" s="238"/>
      <c r="E89" s="245"/>
      <c r="F89" s="246"/>
    </row>
    <row r="90" ht="11.25">
      <c r="A90" s="267"/>
      <c r="B90" s="380"/>
      <c r="C90" s="268"/>
      <c r="D90" s="238"/>
      <c r="E90" s="245"/>
      <c r="F90" s="246"/>
    </row>
    <row r="91" ht="11.25">
      <c r="A91" s="267"/>
      <c r="B91" s="380"/>
      <c r="C91" s="268"/>
      <c r="D91" s="238"/>
      <c r="E91" s="245"/>
      <c r="F91" s="246"/>
    </row>
    <row r="92" ht="12" customHeight="1">
      <c r="A92" s="269"/>
      <c r="B92" s="380"/>
      <c r="C92" s="268"/>
      <c r="D92" s="238"/>
      <c r="E92" s="245"/>
      <c r="F92" s="246"/>
    </row>
    <row r="93" ht="11.25">
      <c r="A93" s="267"/>
      <c r="B93" s="380"/>
      <c r="C93" s="268"/>
      <c r="D93" s="238"/>
      <c r="E93" s="245"/>
      <c r="F93" s="246"/>
    </row>
    <row r="94" ht="11.25">
      <c r="A94" s="270"/>
      <c r="B94" s="328"/>
      <c r="C94" s="268"/>
      <c r="D94" s="238"/>
      <c r="E94" s="245"/>
      <c r="F94" s="246"/>
    </row>
    <row r="95" ht="11.25">
      <c r="A95" s="267"/>
      <c r="B95" s="389"/>
      <c r="C95" s="249"/>
      <c r="D95" s="238"/>
      <c r="E95" s="245"/>
      <c r="F95" s="246"/>
    </row>
    <row r="96" ht="12" customHeight="1">
      <c r="A96" s="252"/>
      <c r="B96" s="390"/>
      <c r="C96" s="268"/>
      <c r="D96" s="238"/>
      <c r="E96" s="245"/>
      <c r="F96" s="246"/>
    </row>
    <row r="97" ht="11.25">
      <c r="A97" s="252"/>
      <c r="B97" s="390"/>
      <c r="C97" s="268"/>
      <c r="D97" s="238"/>
      <c r="E97" s="245"/>
      <c r="F97" s="246"/>
    </row>
    <row r="98" ht="11.25">
      <c r="A98" s="252"/>
      <c r="B98" s="390"/>
      <c r="C98" s="268"/>
      <c r="D98" s="238"/>
      <c r="E98" s="245"/>
      <c r="F98" s="246"/>
    </row>
    <row r="99" ht="11.25">
      <c r="A99" s="252"/>
      <c r="B99" s="390"/>
      <c r="C99" s="268"/>
      <c r="D99" s="238"/>
      <c r="E99" s="245"/>
      <c r="F99" s="246"/>
    </row>
    <row r="100" ht="12" customHeight="1">
      <c r="A100" s="252"/>
      <c r="B100" s="391"/>
      <c r="C100" s="268"/>
      <c r="D100" s="238"/>
      <c r="E100" s="245"/>
      <c r="F100" s="246"/>
    </row>
    <row r="101" ht="11.25">
      <c r="A101" s="252"/>
      <c r="B101" s="391"/>
      <c r="C101" s="268"/>
      <c r="D101" s="238"/>
      <c r="E101" s="245"/>
      <c r="F101" s="246"/>
    </row>
    <row r="102" ht="11.25">
      <c r="A102" s="252"/>
      <c r="B102" s="271"/>
      <c r="C102" s="268"/>
      <c r="D102" s="238"/>
      <c r="E102" s="245"/>
      <c r="F102" s="246"/>
    </row>
    <row r="103" ht="11.25">
      <c r="A103" s="272"/>
      <c r="B103" s="273"/>
      <c r="C103" s="278"/>
      <c r="D103" s="238"/>
      <c r="E103" s="245"/>
      <c r="F103" s="246"/>
    </row>
    <row r="104" ht="11.25">
      <c r="A104" s="252"/>
      <c r="B104" s="389"/>
      <c r="C104" s="278"/>
      <c r="D104" s="238"/>
      <c r="E104" s="245"/>
      <c r="F104" s="302"/>
    </row>
    <row r="105" ht="11.25">
      <c r="A105" s="252"/>
      <c r="B105" s="390"/>
      <c r="C105" s="268"/>
      <c r="D105" s="238"/>
      <c r="E105" s="245"/>
      <c r="F105" s="246"/>
    </row>
    <row r="106" ht="11.25">
      <c r="A106" s="252"/>
      <c r="B106" s="391"/>
      <c r="C106" s="268"/>
      <c r="D106" s="238"/>
      <c r="E106" s="245"/>
      <c r="F106" s="246"/>
    </row>
    <row r="107" ht="11.25">
      <c r="A107" s="252"/>
      <c r="B107" s="391"/>
      <c r="C107" s="268"/>
      <c r="D107" s="238"/>
      <c r="E107" s="245"/>
      <c r="F107" s="246"/>
    </row>
    <row r="108" ht="11.25">
      <c r="A108" s="274"/>
      <c r="B108" s="275"/>
      <c r="C108" s="249"/>
      <c r="D108" s="238"/>
      <c r="E108" s="245"/>
      <c r="F108" s="246"/>
    </row>
    <row r="109" ht="11.25">
      <c r="A109" s="276"/>
      <c r="B109" s="277"/>
      <c r="C109" s="243"/>
      <c r="D109" s="238"/>
      <c r="E109" s="245"/>
      <c r="F109" s="246"/>
    </row>
    <row r="110" ht="11.25" customHeight="1">
      <c r="A110" s="241"/>
      <c r="B110" s="386"/>
      <c r="C110" s="278"/>
      <c r="D110" s="238"/>
      <c r="E110" s="279"/>
      <c r="F110" s="302"/>
    </row>
    <row r="111" ht="11.25">
      <c r="A111" s="241"/>
      <c r="B111" s="386"/>
      <c r="C111" s="243"/>
      <c r="D111" s="238"/>
      <c r="E111" s="245"/>
      <c r="F111" s="246"/>
    </row>
    <row r="112" ht="11.25">
      <c r="A112" s="241"/>
      <c r="B112" s="386"/>
      <c r="C112" s="243"/>
      <c r="D112" s="238"/>
      <c r="E112" s="245"/>
      <c r="F112" s="246"/>
    </row>
    <row r="113" ht="11.25">
      <c r="A113" s="241"/>
      <c r="B113" s="386"/>
      <c r="C113" s="243"/>
      <c r="D113" s="238"/>
      <c r="E113" s="245"/>
      <c r="F113" s="246"/>
    </row>
    <row r="114" ht="11.25">
      <c r="A114" s="276"/>
      <c r="B114" s="277"/>
      <c r="C114" s="243"/>
      <c r="D114" s="238"/>
      <c r="E114" s="245"/>
      <c r="F114" s="246"/>
    </row>
    <row r="115" ht="11.25">
      <c r="A115" s="267"/>
      <c r="B115" s="380"/>
      <c r="C115" s="243"/>
      <c r="D115" s="238"/>
      <c r="E115" s="279"/>
      <c r="F115" s="302"/>
    </row>
    <row r="116" ht="11.25">
      <c r="A116" s="267"/>
      <c r="B116" s="380"/>
      <c r="C116" s="243"/>
      <c r="D116" s="238"/>
      <c r="E116" s="245"/>
      <c r="F116" s="246"/>
    </row>
    <row r="117" ht="11.25">
      <c r="A117" s="280"/>
      <c r="B117" s="380"/>
      <c r="C117" s="243"/>
      <c r="D117" s="238"/>
      <c r="E117" s="245"/>
      <c r="F117" s="246"/>
    </row>
    <row r="118" ht="11.25">
      <c r="A118" s="241"/>
      <c r="B118" s="380"/>
      <c r="C118" s="223"/>
      <c r="D118" s="238"/>
      <c r="E118" s="245"/>
      <c r="F118" s="246"/>
    </row>
    <row r="119" ht="11.25">
      <c r="A119" s="241"/>
      <c r="B119" s="380"/>
      <c r="C119" s="223"/>
      <c r="D119" s="238"/>
      <c r="E119" s="245"/>
      <c r="F119" s="246"/>
    </row>
    <row r="120" ht="11.25">
      <c r="A120" s="252"/>
      <c r="B120" s="271"/>
      <c r="C120" s="268"/>
      <c r="D120" s="250"/>
      <c r="E120" s="245"/>
      <c r="F120" s="246"/>
    </row>
    <row r="121" ht="11.25">
      <c r="A121" s="241"/>
      <c r="B121" s="380"/>
      <c r="C121" s="278"/>
      <c r="D121" s="238"/>
      <c r="E121" s="245"/>
      <c r="F121" s="302"/>
    </row>
    <row r="122" ht="11.25">
      <c r="A122" s="267"/>
      <c r="B122" s="380"/>
      <c r="C122" s="268"/>
      <c r="D122" s="238"/>
      <c r="E122" s="245"/>
      <c r="F122" s="246"/>
    </row>
    <row r="123" ht="11.25">
      <c r="A123" s="280"/>
      <c r="B123" s="380"/>
      <c r="C123" s="268"/>
      <c r="D123" s="238"/>
      <c r="E123" s="245"/>
      <c r="F123" s="246"/>
    </row>
    <row r="124" ht="11.25">
      <c r="A124" s="280"/>
      <c r="B124" s="380"/>
      <c r="C124" s="268"/>
      <c r="D124" s="238"/>
      <c r="E124" s="245"/>
      <c r="F124" s="246"/>
    </row>
    <row r="125" ht="11.25">
      <c r="A125" s="280"/>
      <c r="B125" s="380"/>
      <c r="C125" s="268"/>
      <c r="D125" s="238"/>
      <c r="E125" s="245"/>
      <c r="F125" s="246"/>
    </row>
    <row r="126" ht="11.25">
      <c r="A126" s="280"/>
      <c r="B126" s="380"/>
      <c r="C126" s="268"/>
      <c r="D126" s="238"/>
      <c r="E126" s="245"/>
      <c r="F126" s="246"/>
    </row>
    <row r="127" ht="12">
      <c r="A127" s="329"/>
      <c r="B127" s="317"/>
      <c r="C127" s="330"/>
      <c r="D127" s="319"/>
      <c r="E127" s="320"/>
      <c r="F127" s="321"/>
    </row>
    <row r="128" ht="11.25">
      <c r="A128" s="291"/>
      <c r="B128" s="313"/>
      <c r="C128" s="314"/>
      <c r="D128" s="265"/>
      <c r="E128" s="315"/>
      <c r="F128" s="266"/>
    </row>
    <row r="129" ht="11.25">
      <c r="A129" s="252"/>
      <c r="B129" s="242"/>
      <c r="C129" s="243"/>
      <c r="D129" s="238"/>
      <c r="E129" s="311"/>
      <c r="F129" s="246"/>
    </row>
    <row r="130" ht="11.25">
      <c r="A130" s="252"/>
      <c r="B130" s="242"/>
      <c r="C130" s="243"/>
      <c r="D130" s="238"/>
      <c r="E130" s="245"/>
      <c r="F130" s="246"/>
    </row>
    <row r="131" ht="11.25">
      <c r="A131" s="252"/>
      <c r="B131" s="312"/>
      <c r="C131" s="243"/>
      <c r="D131" s="238"/>
      <c r="E131" s="245"/>
      <c r="F131" s="246"/>
    </row>
    <row r="132" ht="11.25">
      <c r="A132" s="252"/>
      <c r="B132" s="312"/>
      <c r="C132" s="243"/>
      <c r="D132" s="238"/>
      <c r="E132" s="245"/>
      <c r="F132" s="246"/>
    </row>
    <row r="133" ht="12">
      <c r="A133" s="316"/>
      <c r="B133" s="317"/>
      <c r="C133" s="318"/>
      <c r="D133" s="319"/>
      <c r="E133" s="320"/>
      <c r="F133" s="321"/>
    </row>
    <row r="134" ht="11.25">
      <c r="A134" s="331"/>
      <c r="B134" s="332"/>
      <c r="C134" s="264"/>
      <c r="D134" s="265"/>
      <c r="E134" s="233"/>
      <c r="F134" s="266"/>
    </row>
    <row r="135" ht="11.25">
      <c r="A135" s="280"/>
      <c r="B135" s="303"/>
      <c r="C135" s="278"/>
      <c r="D135" s="238"/>
      <c r="E135" s="245"/>
      <c r="F135" s="246"/>
    </row>
    <row r="136" ht="12" customHeight="1">
      <c r="A136" s="280"/>
      <c r="B136" s="380"/>
      <c r="C136" s="278"/>
      <c r="D136" s="238"/>
      <c r="E136" s="245"/>
      <c r="F136" s="302"/>
    </row>
    <row r="137" ht="11.25">
      <c r="A137" s="280"/>
      <c r="B137" s="380"/>
      <c r="C137" s="278"/>
      <c r="D137" s="238"/>
      <c r="E137" s="245"/>
      <c r="F137" s="246"/>
    </row>
    <row r="138" ht="11.25">
      <c r="A138" s="280"/>
      <c r="B138" s="380"/>
      <c r="C138" s="278"/>
      <c r="D138" s="238"/>
      <c r="E138" s="245"/>
      <c r="F138" s="246"/>
    </row>
    <row r="139" ht="11.25">
      <c r="A139" s="280"/>
      <c r="B139" s="380"/>
      <c r="C139" s="278"/>
      <c r="D139" s="238"/>
      <c r="E139" s="245"/>
      <c r="F139" s="246"/>
    </row>
    <row r="140" ht="11.25">
      <c r="A140" s="280"/>
      <c r="B140" s="242"/>
      <c r="C140" s="278"/>
      <c r="D140" s="238"/>
      <c r="E140" s="245"/>
      <c r="F140" s="246"/>
    </row>
    <row r="141" ht="10.5" customHeight="1">
      <c r="A141" s="280"/>
      <c r="B141" s="380"/>
      <c r="C141" s="278"/>
      <c r="D141" s="238"/>
      <c r="E141" s="245"/>
      <c r="F141" s="302"/>
    </row>
    <row r="142" ht="11.25">
      <c r="A142" s="280"/>
      <c r="B142" s="380"/>
      <c r="C142" s="278"/>
      <c r="D142" s="238"/>
      <c r="E142" s="245"/>
      <c r="F142" s="246"/>
    </row>
    <row r="143" ht="11.25">
      <c r="A143" s="280"/>
      <c r="B143" s="380"/>
      <c r="C143" s="278"/>
      <c r="D143" s="238"/>
      <c r="E143" s="245"/>
      <c r="F143" s="246"/>
    </row>
    <row r="144" ht="11.25">
      <c r="A144" s="280"/>
      <c r="B144" s="380"/>
      <c r="C144" s="268"/>
      <c r="D144" s="238"/>
      <c r="E144" s="245"/>
      <c r="F144" s="246"/>
    </row>
    <row r="145" ht="11.25">
      <c r="A145" s="280"/>
      <c r="B145" s="380"/>
      <c r="C145" s="268"/>
      <c r="D145" s="238"/>
      <c r="E145" s="245"/>
      <c r="F145" s="246"/>
    </row>
    <row r="146" ht="11.25">
      <c r="A146" s="280"/>
      <c r="B146" s="242"/>
      <c r="C146" s="268"/>
      <c r="D146" s="238"/>
      <c r="E146" s="245"/>
      <c r="F146" s="246"/>
    </row>
    <row r="147" ht="11.25">
      <c r="A147" s="252"/>
      <c r="B147" s="273"/>
      <c r="C147" s="268"/>
      <c r="D147" s="238"/>
      <c r="E147" s="245"/>
      <c r="F147" s="246"/>
    </row>
    <row r="148" ht="11.25">
      <c r="A148" s="270"/>
      <c r="B148" s="277"/>
      <c r="C148" s="278"/>
      <c r="D148" s="238"/>
      <c r="E148" s="245"/>
      <c r="F148" s="246"/>
    </row>
    <row r="149" ht="11.25">
      <c r="A149" s="241"/>
      <c r="B149" s="380"/>
      <c r="C149" s="278"/>
      <c r="D149" s="238"/>
      <c r="E149" s="245"/>
      <c r="F149" s="302"/>
    </row>
    <row r="150" ht="11.25">
      <c r="A150" s="267"/>
      <c r="B150" s="380"/>
      <c r="C150" s="278"/>
      <c r="D150" s="238"/>
      <c r="E150" s="245"/>
      <c r="F150" s="246"/>
    </row>
    <row r="151" ht="11.25">
      <c r="A151" s="267"/>
      <c r="B151" s="380"/>
      <c r="C151" s="278"/>
      <c r="D151" s="238"/>
      <c r="E151" s="245"/>
      <c r="F151" s="246"/>
    </row>
    <row r="152" ht="11.25">
      <c r="A152" s="280"/>
      <c r="B152" s="380"/>
      <c r="C152" s="278"/>
      <c r="D152" s="238"/>
      <c r="E152" s="245"/>
      <c r="F152" s="246"/>
    </row>
    <row r="153" ht="11.25">
      <c r="A153" s="280"/>
      <c r="B153" s="380"/>
      <c r="C153" s="278"/>
      <c r="D153" s="238"/>
      <c r="E153" s="245"/>
      <c r="F153" s="246"/>
    </row>
    <row r="154" ht="11.25">
      <c r="A154" s="280"/>
      <c r="B154" s="380"/>
      <c r="C154" s="278"/>
      <c r="D154" s="238"/>
      <c r="E154" s="245"/>
      <c r="F154" s="246"/>
    </row>
    <row r="155" ht="11.25">
      <c r="A155" s="252"/>
      <c r="B155" s="271"/>
      <c r="C155" s="268"/>
      <c r="D155" s="250"/>
      <c r="E155" s="245"/>
      <c r="F155" s="246"/>
    </row>
    <row r="156" ht="11.25">
      <c r="A156" s="241"/>
      <c r="B156" s="380"/>
      <c r="C156" s="278"/>
      <c r="D156" s="238"/>
      <c r="E156" s="245"/>
      <c r="F156" s="302"/>
    </row>
    <row r="157" ht="11.25">
      <c r="A157" s="280"/>
      <c r="B157" s="380"/>
      <c r="C157" s="278"/>
      <c r="D157" s="238"/>
      <c r="E157" s="245"/>
      <c r="F157" s="246"/>
    </row>
    <row r="158" ht="11.25">
      <c r="A158" s="280"/>
      <c r="B158" s="380"/>
      <c r="C158" s="278"/>
      <c r="D158" s="238"/>
      <c r="E158" s="245"/>
      <c r="F158" s="246"/>
    </row>
    <row r="159" ht="11.25">
      <c r="A159" s="280"/>
      <c r="B159" s="380"/>
      <c r="C159" s="278"/>
      <c r="D159" s="238"/>
      <c r="E159" s="245"/>
      <c r="F159" s="246"/>
    </row>
    <row r="160" ht="11.25">
      <c r="A160" s="280"/>
      <c r="B160" s="380"/>
      <c r="C160" s="278"/>
      <c r="D160" s="238"/>
      <c r="E160" s="245"/>
      <c r="F160" s="246"/>
    </row>
    <row r="161" ht="11.25">
      <c r="A161" s="252"/>
      <c r="B161" s="271"/>
      <c r="C161" s="268"/>
      <c r="D161" s="238"/>
      <c r="E161" s="245"/>
      <c r="F161" s="246"/>
    </row>
    <row r="162" ht="11.25">
      <c r="A162" s="252"/>
      <c r="B162" s="271"/>
      <c r="C162" s="268"/>
      <c r="D162" s="238"/>
      <c r="E162" s="245"/>
      <c r="F162" s="246"/>
    </row>
    <row r="163" ht="11.25">
      <c r="A163" s="252"/>
      <c r="B163" s="271"/>
      <c r="C163" s="268"/>
      <c r="D163" s="238"/>
      <c r="E163" s="245"/>
      <c r="F163" s="246"/>
    </row>
    <row r="164" ht="11.25">
      <c r="A164" s="241"/>
      <c r="B164" s="380"/>
      <c r="C164" s="278"/>
      <c r="D164" s="238"/>
      <c r="E164" s="245"/>
      <c r="F164" s="302"/>
    </row>
    <row r="165" ht="11.25">
      <c r="A165" s="280"/>
      <c r="B165" s="380"/>
      <c r="C165" s="278"/>
      <c r="D165" s="238"/>
      <c r="E165" s="245"/>
      <c r="F165" s="246"/>
    </row>
    <row r="166" ht="11.25">
      <c r="A166" s="280"/>
      <c r="B166" s="380"/>
      <c r="C166" s="278"/>
      <c r="D166" s="238"/>
      <c r="E166" s="245"/>
      <c r="F166" s="246"/>
    </row>
    <row r="167" ht="11.25">
      <c r="A167" s="280"/>
      <c r="B167" s="380"/>
      <c r="C167" s="268"/>
      <c r="D167" s="238"/>
      <c r="E167" s="245"/>
      <c r="F167" s="246"/>
    </row>
    <row r="168" ht="11.25">
      <c r="A168" s="280"/>
      <c r="B168" s="281"/>
      <c r="C168" s="278"/>
      <c r="D168" s="238"/>
      <c r="E168" s="245"/>
      <c r="F168" s="246"/>
    </row>
    <row r="169" ht="11.25">
      <c r="A169" s="241"/>
      <c r="B169" s="380"/>
      <c r="C169" s="278"/>
      <c r="D169" s="238"/>
      <c r="E169" s="245"/>
      <c r="F169" s="302"/>
    </row>
    <row r="170" ht="11.25">
      <c r="A170" s="280"/>
      <c r="B170" s="380"/>
      <c r="C170" s="278"/>
      <c r="D170" s="238"/>
      <c r="E170" s="245"/>
      <c r="F170" s="246"/>
    </row>
    <row r="171" ht="11.25">
      <c r="A171" s="280"/>
      <c r="B171" s="380"/>
      <c r="C171" s="278"/>
      <c r="D171" s="238"/>
      <c r="E171" s="245"/>
      <c r="F171" s="246"/>
    </row>
    <row r="172" ht="11.25">
      <c r="A172" s="280"/>
      <c r="B172" s="380"/>
      <c r="C172" s="268"/>
      <c r="D172" s="238"/>
      <c r="E172" s="245"/>
      <c r="F172" s="246"/>
    </row>
    <row r="173" ht="11.25">
      <c r="A173" s="280"/>
      <c r="B173" s="242"/>
      <c r="C173" s="268"/>
      <c r="D173" s="238"/>
      <c r="E173" s="245"/>
      <c r="F173" s="246"/>
    </row>
    <row r="174" ht="12">
      <c r="A174" s="329"/>
      <c r="B174" s="317"/>
      <c r="C174" s="330"/>
      <c r="D174" s="319"/>
      <c r="E174" s="320"/>
      <c r="F174" s="321"/>
    </row>
    <row r="175" ht="11.25">
      <c r="A175" s="291"/>
      <c r="B175" s="313"/>
      <c r="C175" s="314"/>
      <c r="D175" s="265"/>
      <c r="E175" s="315"/>
      <c r="F175" s="266"/>
    </row>
    <row r="176" ht="11.25">
      <c r="A176" s="252"/>
      <c r="B176" s="242"/>
      <c r="C176" s="243"/>
      <c r="D176" s="238"/>
      <c r="E176" s="311"/>
      <c r="F176" s="246"/>
    </row>
    <row r="177" ht="11.25">
      <c r="A177" s="252"/>
      <c r="B177" s="242"/>
      <c r="C177" s="243"/>
      <c r="D177" s="238"/>
      <c r="E177" s="245"/>
      <c r="F177" s="246"/>
    </row>
    <row r="178" ht="11.25">
      <c r="A178" s="252"/>
      <c r="B178" s="312"/>
      <c r="C178" s="243"/>
      <c r="D178" s="238"/>
      <c r="E178" s="245"/>
      <c r="F178" s="246"/>
    </row>
    <row r="179" ht="11.25">
      <c r="A179" s="252"/>
      <c r="B179" s="312"/>
      <c r="C179" s="243"/>
      <c r="D179" s="238"/>
      <c r="E179" s="245"/>
      <c r="F179" s="246"/>
    </row>
    <row r="180" ht="12">
      <c r="A180" s="316"/>
      <c r="B180" s="317"/>
      <c r="C180" s="318"/>
      <c r="D180" s="319"/>
      <c r="E180" s="320"/>
      <c r="F180" s="321"/>
    </row>
    <row r="181" ht="11.25">
      <c r="A181" s="263"/>
      <c r="B181" s="333"/>
      <c r="C181" s="334"/>
      <c r="D181" s="265"/>
      <c r="E181" s="233"/>
      <c r="F181" s="266"/>
    </row>
    <row r="182" ht="11.25">
      <c r="A182" s="241"/>
      <c r="B182" s="380"/>
      <c r="C182" s="278"/>
      <c r="D182" s="238"/>
      <c r="E182" s="245"/>
      <c r="F182" s="302"/>
    </row>
    <row r="183" ht="11.25">
      <c r="A183" s="280"/>
      <c r="B183" s="380"/>
      <c r="C183" s="278"/>
      <c r="D183" s="238"/>
      <c r="E183" s="245"/>
      <c r="F183" s="246"/>
    </row>
    <row r="184" ht="11.25">
      <c r="A184" s="280"/>
      <c r="B184" s="380"/>
      <c r="C184" s="278"/>
      <c r="D184" s="238"/>
      <c r="E184" s="245"/>
      <c r="F184" s="246"/>
    </row>
    <row r="185" ht="11.25">
      <c r="A185" s="280"/>
      <c r="B185" s="380"/>
      <c r="C185" s="278"/>
      <c r="D185" s="238"/>
      <c r="E185" s="245"/>
      <c r="F185" s="246"/>
    </row>
    <row r="186" ht="11.25">
      <c r="A186" s="280"/>
      <c r="B186" s="380"/>
      <c r="C186" s="278"/>
      <c r="D186" s="238"/>
      <c r="E186" s="245"/>
      <c r="F186" s="246"/>
    </row>
    <row r="187" ht="11.25">
      <c r="A187" s="280"/>
      <c r="B187" s="380"/>
      <c r="C187" s="278"/>
      <c r="D187" s="238"/>
      <c r="E187" s="245"/>
      <c r="F187" s="246"/>
    </row>
    <row r="188" ht="11.25">
      <c r="A188" s="280"/>
      <c r="B188" s="380"/>
      <c r="C188" s="278"/>
      <c r="D188" s="238"/>
      <c r="E188" s="245"/>
      <c r="F188" s="246"/>
    </row>
    <row r="189" ht="11.25">
      <c r="A189" s="280"/>
      <c r="B189" s="380"/>
      <c r="C189" s="268"/>
      <c r="D189" s="238"/>
      <c r="E189" s="245"/>
      <c r="F189" s="246"/>
    </row>
    <row r="190" ht="11.25">
      <c r="A190" s="280"/>
      <c r="B190" s="242"/>
      <c r="C190" s="268"/>
      <c r="D190" s="238"/>
      <c r="E190" s="245"/>
      <c r="F190" s="246"/>
    </row>
    <row r="191" ht="11.25" customHeight="1">
      <c r="A191" s="241"/>
      <c r="B191" s="388"/>
      <c r="C191" s="278"/>
      <c r="D191" s="238"/>
      <c r="E191" s="279"/>
      <c r="F191" s="302"/>
    </row>
    <row r="192" ht="12.75">
      <c r="A192" s="282"/>
      <c r="B192" s="388"/>
      <c r="C192" s="268"/>
      <c r="D192" s="238"/>
      <c r="E192" s="245"/>
      <c r="F192" s="246"/>
    </row>
    <row r="193" ht="12.75">
      <c r="A193" s="282"/>
      <c r="B193" s="388"/>
      <c r="C193" s="268"/>
      <c r="D193" s="238"/>
      <c r="E193" s="245"/>
      <c r="F193" s="246"/>
    </row>
    <row r="194" ht="12.75">
      <c r="A194" s="282"/>
      <c r="B194" s="388"/>
      <c r="C194" s="268"/>
      <c r="D194" s="238"/>
      <c r="E194" s="245"/>
      <c r="F194" s="246"/>
    </row>
    <row r="195" ht="12.75">
      <c r="A195" s="282"/>
      <c r="B195" s="388"/>
      <c r="C195" s="268"/>
      <c r="D195" s="238"/>
      <c r="E195" s="245"/>
      <c r="F195" s="246"/>
    </row>
    <row r="196" ht="11.25">
      <c r="A196" s="280"/>
      <c r="B196" s="242"/>
      <c r="C196" s="268"/>
      <c r="D196" s="238"/>
      <c r="E196" s="245"/>
      <c r="F196" s="246"/>
    </row>
    <row r="197" ht="11.25">
      <c r="A197" s="308"/>
      <c r="B197" s="309"/>
      <c r="C197" s="283"/>
      <c r="D197" s="238"/>
      <c r="E197" s="245"/>
      <c r="F197" s="246"/>
    </row>
    <row r="198" ht="11.25" customHeight="1">
      <c r="A198" s="241"/>
      <c r="B198" s="394"/>
      <c r="C198" s="283"/>
      <c r="D198" s="238"/>
      <c r="E198" s="245"/>
      <c r="F198" s="302"/>
    </row>
    <row r="199" ht="11.25">
      <c r="A199" s="284"/>
      <c r="B199" s="394"/>
      <c r="C199" s="283"/>
      <c r="D199" s="238"/>
      <c r="E199" s="245"/>
      <c r="F199" s="246"/>
    </row>
    <row r="200" ht="11.25">
      <c r="A200" s="284"/>
      <c r="B200" s="394"/>
      <c r="C200" s="223"/>
      <c r="D200" s="238"/>
      <c r="E200" s="245"/>
      <c r="F200" s="246"/>
    </row>
    <row r="201" ht="11.25">
      <c r="A201" s="284"/>
      <c r="B201" s="394"/>
      <c r="C201" s="223"/>
      <c r="D201" s="238"/>
      <c r="E201" s="245"/>
      <c r="F201" s="246"/>
    </row>
    <row r="202" ht="11.25">
      <c r="A202" s="267"/>
      <c r="B202" s="394"/>
      <c r="C202" s="283"/>
      <c r="D202" s="238"/>
      <c r="E202" s="245"/>
      <c r="F202" s="246"/>
    </row>
    <row r="203" ht="11.25">
      <c r="A203" s="267"/>
      <c r="B203" s="394"/>
      <c r="C203" s="283"/>
      <c r="D203" s="238"/>
      <c r="E203" s="245"/>
      <c r="F203" s="246"/>
    </row>
    <row r="204" ht="11.25">
      <c r="A204" s="285"/>
      <c r="B204" s="286"/>
      <c r="C204" s="287"/>
      <c r="D204" s="287"/>
      <c r="E204" s="287"/>
      <c r="F204" s="288"/>
    </row>
    <row r="205" ht="11.25">
      <c r="A205" s="241"/>
      <c r="B205" s="388"/>
      <c r="C205" s="278"/>
      <c r="D205" s="238"/>
      <c r="E205" s="245"/>
      <c r="F205" s="246"/>
    </row>
    <row r="206" ht="11.25">
      <c r="A206" s="280"/>
      <c r="B206" s="388"/>
      <c r="C206" s="287"/>
      <c r="D206" s="287"/>
      <c r="E206" s="289"/>
      <c r="F206" s="288"/>
    </row>
    <row r="207" ht="11.25">
      <c r="A207" s="280"/>
      <c r="B207" s="388"/>
      <c r="C207" s="287"/>
      <c r="D207" s="287"/>
      <c r="E207" s="287"/>
      <c r="F207" s="288"/>
    </row>
    <row r="208" ht="11.25">
      <c r="A208" s="280"/>
      <c r="B208" s="388"/>
      <c r="C208" s="287"/>
      <c r="D208" s="287"/>
      <c r="E208" s="287"/>
      <c r="F208" s="288"/>
    </row>
    <row r="209" ht="11.25">
      <c r="A209" s="280"/>
      <c r="B209" s="254"/>
      <c r="C209" s="287"/>
      <c r="D209" s="287"/>
      <c r="E209" s="287"/>
      <c r="F209" s="288"/>
    </row>
    <row r="210" ht="11.25">
      <c r="A210" s="280"/>
      <c r="B210" s="254"/>
      <c r="C210" s="287"/>
      <c r="D210" s="287"/>
      <c r="E210" s="287"/>
      <c r="F210" s="288"/>
    </row>
    <row r="211" ht="11.25">
      <c r="A211" s="296"/>
      <c r="B211" s="297"/>
      <c r="C211" s="287"/>
      <c r="D211" s="287"/>
      <c r="E211" s="287"/>
      <c r="F211" s="288"/>
    </row>
    <row r="212" ht="11.25">
      <c r="A212" s="285"/>
      <c r="B212" s="380"/>
      <c r="C212" s="287"/>
      <c r="D212" s="290"/>
      <c r="E212" s="245"/>
      <c r="F212" s="246"/>
    </row>
    <row r="213" ht="11.25">
      <c r="A213" s="285"/>
      <c r="B213" s="380"/>
      <c r="C213" s="287"/>
      <c r="D213" s="287"/>
      <c r="E213" s="287"/>
      <c r="F213" s="288"/>
    </row>
    <row r="214" ht="11.25">
      <c r="A214" s="285"/>
      <c r="B214" s="380"/>
      <c r="C214" s="287"/>
      <c r="D214" s="287"/>
      <c r="E214" s="287"/>
      <c r="F214" s="288"/>
    </row>
    <row r="215" ht="11.25">
      <c r="A215" s="285"/>
      <c r="B215" s="380"/>
      <c r="C215" s="287"/>
      <c r="D215" s="287"/>
      <c r="E215" s="287"/>
      <c r="F215" s="288"/>
    </row>
    <row r="216" ht="11.25">
      <c r="A216" s="285"/>
      <c r="B216" s="286"/>
      <c r="C216" s="287"/>
      <c r="D216" s="287"/>
      <c r="E216" s="287"/>
      <c r="F216" s="288"/>
    </row>
    <row r="217" ht="11.25">
      <c r="A217" s="285"/>
      <c r="B217" s="380"/>
      <c r="C217" s="287"/>
      <c r="D217" s="287"/>
      <c r="E217" s="245"/>
      <c r="F217" s="246"/>
    </row>
    <row r="218" ht="11.25">
      <c r="A218" s="285"/>
      <c r="B218" s="380"/>
      <c r="C218" s="287"/>
      <c r="D218" s="287"/>
      <c r="E218" s="287"/>
      <c r="F218" s="288"/>
    </row>
    <row r="219" ht="11.25">
      <c r="A219" s="285"/>
      <c r="B219" s="380"/>
      <c r="C219" s="287"/>
      <c r="D219" s="287"/>
      <c r="E219" s="287"/>
      <c r="F219" s="288"/>
    </row>
    <row r="220" ht="11.25">
      <c r="A220" s="285"/>
      <c r="B220" s="380"/>
      <c r="C220" s="287"/>
      <c r="D220" s="287"/>
      <c r="E220" s="287"/>
      <c r="F220" s="288"/>
    </row>
    <row r="221" ht="12">
      <c r="A221" s="335"/>
      <c r="B221" s="336"/>
      <c r="C221" s="337"/>
      <c r="D221" s="337"/>
      <c r="E221" s="337"/>
      <c r="F221" s="338"/>
    </row>
    <row r="222" ht="11.25">
      <c r="A222" s="291"/>
      <c r="B222" s="313"/>
      <c r="C222" s="314"/>
      <c r="D222" s="265"/>
      <c r="E222" s="315"/>
      <c r="F222" s="266"/>
    </row>
    <row r="223" ht="11.25">
      <c r="A223" s="252"/>
      <c r="B223" s="242"/>
      <c r="C223" s="243"/>
      <c r="D223" s="238"/>
      <c r="E223" s="311"/>
      <c r="F223" s="246"/>
    </row>
    <row r="224" ht="11.25">
      <c r="A224" s="252"/>
      <c r="B224" s="242"/>
      <c r="C224" s="243"/>
      <c r="D224" s="238"/>
      <c r="E224" s="245"/>
      <c r="F224" s="246"/>
    </row>
    <row r="225" ht="11.25">
      <c r="A225" s="252"/>
      <c r="B225" s="312"/>
      <c r="C225" s="243"/>
      <c r="D225" s="238"/>
      <c r="E225" s="245"/>
      <c r="F225" s="246"/>
    </row>
    <row r="226" ht="11.25">
      <c r="A226" s="252"/>
      <c r="B226" s="312"/>
      <c r="C226" s="243"/>
      <c r="D226" s="238"/>
      <c r="E226" s="245"/>
      <c r="F226" s="246"/>
    </row>
    <row r="227" ht="12">
      <c r="A227" s="316"/>
      <c r="B227" s="317"/>
      <c r="C227" s="318"/>
      <c r="D227" s="319"/>
      <c r="E227" s="320"/>
      <c r="F227" s="321"/>
    </row>
    <row r="228" ht="12">
      <c r="A228" s="222"/>
      <c r="B228" s="310"/>
      <c r="C228" s="223"/>
      <c r="D228" s="219"/>
      <c r="E228" s="220"/>
      <c r="F228" s="221"/>
    </row>
    <row r="229" ht="12">
      <c r="A229" s="222"/>
      <c r="B229" s="343"/>
      <c r="C229" s="223"/>
      <c r="D229" s="219"/>
      <c r="E229" s="220"/>
      <c r="F229" s="221"/>
    </row>
    <row r="230" ht="12" customHeight="1">
      <c r="A230" s="269"/>
      <c r="B230" s="343"/>
      <c r="C230" s="295"/>
      <c r="D230" s="219"/>
      <c r="E230" s="245"/>
      <c r="F230" s="302"/>
    </row>
    <row r="231" ht="12">
      <c r="A231" s="222"/>
      <c r="B231" s="343"/>
      <c r="C231" s="223"/>
      <c r="D231" s="219"/>
      <c r="E231" s="220"/>
      <c r="F231" s="221"/>
    </row>
    <row r="232" ht="12">
      <c r="A232" s="222"/>
      <c r="B232" s="343"/>
      <c r="C232" s="223"/>
      <c r="D232" s="219"/>
      <c r="E232" s="220"/>
      <c r="F232" s="221"/>
    </row>
    <row r="233" ht="12">
      <c r="A233" s="222"/>
      <c r="B233" s="343"/>
      <c r="C233" s="223"/>
      <c r="D233" s="219"/>
      <c r="E233" s="220"/>
      <c r="F233" s="221"/>
    </row>
    <row r="234" ht="12">
      <c r="A234" s="222"/>
      <c r="B234" s="343"/>
      <c r="C234" s="223"/>
      <c r="D234" s="219"/>
      <c r="E234" s="220"/>
      <c r="F234" s="221"/>
    </row>
    <row r="235" ht="12">
      <c r="A235" s="222"/>
      <c r="B235" s="304"/>
      <c r="C235" s="223"/>
      <c r="D235" s="219"/>
      <c r="E235" s="220"/>
      <c r="F235" s="221"/>
    </row>
    <row r="236" ht="11.25" customHeight="1">
      <c r="A236" s="222"/>
      <c r="B236" s="341"/>
      <c r="C236" s="223"/>
      <c r="D236" s="219"/>
      <c r="E236" s="220"/>
      <c r="F236" s="302"/>
    </row>
    <row r="237" ht="12">
      <c r="A237" s="222"/>
      <c r="B237" s="341"/>
      <c r="C237" s="223"/>
      <c r="D237" s="219"/>
      <c r="E237" s="220"/>
      <c r="F237" s="221"/>
    </row>
    <row r="238" ht="12">
      <c r="A238" s="222"/>
      <c r="B238" s="341"/>
      <c r="C238" s="223"/>
      <c r="D238" s="219"/>
      <c r="E238" s="220"/>
      <c r="F238" s="221"/>
    </row>
    <row r="239" ht="12">
      <c r="A239" s="222"/>
      <c r="B239" s="341"/>
      <c r="C239" s="223"/>
      <c r="D239" s="219"/>
      <c r="E239" s="220"/>
      <c r="F239" s="221"/>
    </row>
    <row r="240" ht="12">
      <c r="A240" s="222"/>
      <c r="B240" s="341"/>
      <c r="C240" s="223"/>
      <c r="D240" s="219"/>
      <c r="E240" s="220"/>
      <c r="F240" s="221"/>
    </row>
    <row r="241" ht="12">
      <c r="A241" s="222"/>
      <c r="B241" s="341"/>
      <c r="C241" s="223"/>
      <c r="D241" s="219"/>
      <c r="E241" s="220"/>
      <c r="F241" s="221"/>
    </row>
    <row r="242" ht="12">
      <c r="A242" s="222"/>
      <c r="B242" s="341"/>
      <c r="C242" s="223"/>
      <c r="D242" s="219"/>
      <c r="E242" s="220"/>
      <c r="F242" s="221"/>
    </row>
    <row r="243" ht="12" customHeight="1">
      <c r="A243" s="305"/>
      <c r="B243" s="341"/>
      <c r="C243" s="223"/>
      <c r="D243" s="219"/>
      <c r="E243" s="220"/>
      <c r="F243" s="302"/>
    </row>
    <row r="244" ht="12">
      <c r="A244" s="222"/>
      <c r="B244" s="341"/>
      <c r="C244" s="223"/>
      <c r="D244" s="219"/>
      <c r="E244" s="220"/>
      <c r="F244" s="221"/>
    </row>
    <row r="245" ht="12">
      <c r="A245" s="222"/>
      <c r="B245" s="341"/>
      <c r="C245" s="223"/>
      <c r="D245" s="219"/>
      <c r="E245" s="220"/>
      <c r="F245" s="221"/>
    </row>
    <row r="246" ht="12">
      <c r="A246" s="222"/>
      <c r="B246" s="341"/>
      <c r="C246" s="223"/>
      <c r="D246" s="219"/>
      <c r="E246" s="220"/>
      <c r="F246" s="221"/>
    </row>
    <row r="247" ht="12">
      <c r="A247" s="222"/>
      <c r="B247" s="304"/>
      <c r="C247" s="223"/>
      <c r="D247" s="219"/>
      <c r="E247" s="220"/>
      <c r="F247" s="221"/>
    </row>
    <row r="248" ht="12.75" customHeight="1">
      <c r="A248" s="344"/>
      <c r="B248" s="341"/>
      <c r="C248" s="223"/>
      <c r="D248" s="219"/>
      <c r="E248" s="220"/>
      <c r="F248" s="302"/>
    </row>
    <row r="249" hidden="1" ht="12" customHeight="1">
      <c r="A249" s="344"/>
      <c r="B249" s="341"/>
      <c r="C249" s="223"/>
      <c r="D249" s="219"/>
      <c r="E249" s="220"/>
      <c r="F249" s="221"/>
    </row>
    <row r="250" hidden="1" ht="12" customHeight="1">
      <c r="A250" s="344"/>
      <c r="B250" s="341"/>
      <c r="C250" s="223"/>
      <c r="D250" s="219"/>
      <c r="E250" s="220"/>
      <c r="F250" s="221"/>
    </row>
    <row r="251" ht="12">
      <c r="A251" s="344"/>
      <c r="B251" s="341"/>
      <c r="C251" s="223"/>
      <c r="D251" s="219"/>
      <c r="E251" s="220"/>
      <c r="F251" s="221"/>
    </row>
    <row r="252" ht="12">
      <c r="A252" s="344"/>
      <c r="B252" s="341"/>
      <c r="C252" s="223"/>
      <c r="D252" s="219"/>
      <c r="E252" s="220"/>
      <c r="F252" s="221"/>
    </row>
    <row r="253" ht="12">
      <c r="A253" s="222"/>
      <c r="B253" s="341"/>
      <c r="C253" s="223"/>
      <c r="D253" s="219"/>
      <c r="E253" s="220"/>
      <c r="F253" s="221"/>
    </row>
    <row r="254" ht="12">
      <c r="A254" s="222"/>
      <c r="B254" s="304"/>
      <c r="C254" s="223"/>
      <c r="D254" s="219"/>
      <c r="E254" s="220"/>
      <c r="F254" s="221"/>
    </row>
    <row r="255" ht="10.5" customHeight="1">
      <c r="A255" s="342"/>
      <c r="B255" s="341"/>
      <c r="C255" s="223"/>
      <c r="D255" s="219"/>
      <c r="E255" s="220"/>
      <c r="F255" s="302"/>
    </row>
    <row r="256" ht="12">
      <c r="A256" s="342"/>
      <c r="B256" s="341"/>
      <c r="C256" s="223"/>
      <c r="D256" s="219"/>
      <c r="E256" s="220"/>
      <c r="F256" s="221"/>
    </row>
    <row r="257" ht="12">
      <c r="A257" s="342"/>
      <c r="B257" s="341"/>
      <c r="C257" s="223"/>
      <c r="D257" s="219"/>
      <c r="E257" s="220"/>
      <c r="F257" s="221"/>
    </row>
    <row r="258" ht="12">
      <c r="A258" s="222"/>
      <c r="B258" s="341"/>
      <c r="C258" s="223"/>
      <c r="D258" s="219"/>
      <c r="E258" s="220"/>
      <c r="F258" s="221"/>
    </row>
    <row r="259" ht="12">
      <c r="A259" s="222"/>
      <c r="B259" s="341"/>
      <c r="C259" s="223"/>
      <c r="D259" s="219"/>
      <c r="E259" s="220"/>
      <c r="F259" s="221"/>
    </row>
    <row r="260" ht="14.25" customHeight="1">
      <c r="A260" s="294"/>
      <c r="B260" s="226"/>
      <c r="C260" s="226"/>
      <c r="D260" s="322"/>
      <c r="E260" s="323"/>
      <c r="F260" s="227"/>
    </row>
    <row r="261" ht="21.75" customHeight="1">
      <c r="A261" s="3"/>
      <c r="B261" s="293"/>
      <c r="C261" s="3"/>
      <c r="D261" s="324"/>
      <c r="E261" s="325"/>
      <c r="F261" s="266"/>
    </row>
    <row r="262" ht="21.75" customHeight="1">
      <c r="A262" s="3"/>
      <c r="B262" s="293"/>
      <c r="C262" s="3"/>
      <c r="D262" s="326"/>
      <c r="E262" s="311"/>
      <c r="F262" s="246"/>
    </row>
    <row r="263" ht="21.75" customHeight="1">
      <c r="A263" s="3"/>
      <c r="B263" s="293"/>
      <c r="C263" s="3"/>
      <c r="D263" s="216"/>
      <c r="E263" s="315"/>
      <c r="F263" s="209"/>
    </row>
    <row r="264" ht="21.75" customHeight="1">
      <c r="A264" s="3"/>
      <c r="B264" s="340"/>
      <c r="C264" s="3"/>
      <c r="D264" s="216"/>
      <c r="E264" s="315"/>
      <c r="F264" s="218"/>
    </row>
    <row r="265" ht="21.75" customHeight="1">
      <c r="A265" s="3"/>
      <c r="B265" s="339"/>
      <c r="C265" s="3"/>
      <c r="D265" s="216"/>
      <c r="E265" s="298"/>
      <c r="F265" s="299"/>
    </row>
    <row r="266" ht="15.75" customHeight="1">
      <c r="A266" s="3"/>
      <c r="B266" s="392"/>
      <c r="C266" s="392"/>
      <c r="D266" s="392"/>
      <c r="E266" s="393"/>
      <c r="F266" s="393"/>
    </row>
    <row r="267" ht="21.75" customHeight="1">
      <c r="A267" s="213"/>
      <c r="B267" s="306"/>
      <c r="C267" s="3"/>
      <c r="D267" s="210"/>
      <c r="E267" s="211"/>
      <c r="F267" s="212"/>
    </row>
    <row r="268" ht="13.5" customHeight="1">
      <c r="A268" s="345"/>
      <c r="B268" s="345"/>
      <c r="C268" s="345"/>
      <c r="D268" s="345"/>
      <c r="E268" s="345"/>
      <c r="F268" s="345"/>
    </row>
    <row r="269" ht="13.5" customHeight="1">
      <c r="A269" s="214"/>
      <c r="B269" s="1"/>
      <c r="C269" s="215"/>
      <c r="D269" s="215"/>
      <c r="E269" s="215"/>
      <c r="F269" s="212"/>
    </row>
    <row r="270" ht="13.5" customHeight="1">
      <c r="A270" s="118"/>
      <c r="B270" s="1"/>
      <c r="C270" s="215"/>
      <c r="D270" s="215"/>
      <c r="E270" s="215"/>
      <c r="F270" s="212"/>
    </row>
    <row r="271" ht="13.5" customHeight="1">
      <c r="A271" s="118"/>
      <c r="B271" s="1"/>
      <c r="C271" s="215"/>
      <c r="D271" s="215"/>
      <c r="E271" s="215"/>
      <c r="F271" s="212"/>
    </row>
    <row r="272" ht="13.5" customHeight="1">
      <c r="A272" s="214"/>
      <c r="B272" s="1"/>
      <c r="C272" s="215"/>
      <c r="D272" s="215"/>
      <c r="E272" s="215"/>
      <c r="F272" s="212"/>
    </row>
    <row r="273" ht="21.75" customHeight="1">
      <c r="A273" s="3"/>
      <c r="B273" s="3"/>
      <c r="C273" s="3"/>
      <c r="D273" s="210"/>
      <c r="E273" s="211"/>
      <c r="F273" s="212"/>
    </row>
    <row r="274" ht="21.75" customHeight="1">
      <c r="A274" s="3"/>
      <c r="B274" s="3"/>
      <c r="C274" s="3"/>
      <c r="D274" s="210"/>
      <c r="E274" s="211"/>
      <c r="F274" s="212"/>
    </row>
    <row r="275" ht="21.75" customHeight="1">
      <c r="A275" s="3"/>
      <c r="B275" s="3"/>
      <c r="C275" s="3"/>
      <c r="D275" s="210"/>
      <c r="E275" s="211"/>
      <c r="F275" s="212"/>
    </row>
  </sheetData>
  <mergeCells>
    <mergeCell ref="B266:D266"/>
    <mergeCell ref="E266:F266"/>
    <mergeCell ref="B198:B203"/>
    <mergeCell ref="B149:B154"/>
    <mergeCell ref="B212:B215"/>
    <mergeCell ref="B217:B220"/>
    <mergeCell ref="B191:B195"/>
    <mergeCell ref="B55:B62"/>
    <mergeCell ref="B156:B160"/>
    <mergeCell ref="B164:B167"/>
    <mergeCell ref="B169:B172"/>
    <mergeCell ref="B182:B189"/>
    <mergeCell ref="B136:B139"/>
    <mergeCell ref="B141:B145"/>
    <mergeCell ref="B104:B107"/>
    <mergeCell ref="B110:B113"/>
    <mergeCell ref="B115:B119"/>
    <mergeCell ref="B121:B126"/>
    <mergeCell ref="B43:B47"/>
    <mergeCell ref="B64:B70"/>
    <mergeCell ref="B205:B208"/>
    <mergeCell ref="B95:B101"/>
    <mergeCell ref="B73:B75"/>
    <mergeCell ref="B77:B80"/>
    <mergeCell ref="B88:B93"/>
    <mergeCell ref="D35:E35"/>
    <mergeCell ref="A30:B30"/>
    <mergeCell ref="A31:B37"/>
    <mergeCell ref="C28:F33"/>
    <mergeCell ref="B49:B53"/>
    <mergeCell ref="D24:E24"/>
    <mergeCell ref="A25:B25"/>
    <mergeCell ref="D25:E25"/>
    <mergeCell ref="A26:B26"/>
    <mergeCell ref="B40:B41"/>
    <mergeCell ref="A21:F21"/>
    <mergeCell ref="A22:B22"/>
    <mergeCell ref="C22:F22"/>
    <mergeCell ref="D23:E23"/>
    <mergeCell ref="A2:F2"/>
    <mergeCell ref="A3:F3"/>
    <mergeCell ref="C4:D4"/>
    <mergeCell ref="D7:F7"/>
    <mergeCell ref="A8:F8"/>
    <mergeCell ref="A12:A13"/>
    <mergeCell ref="A268:F268"/>
    <mergeCell ref="B12:F13"/>
    <mergeCell ref="D15:F15"/>
    <mergeCell ref="A27:B27"/>
    <mergeCell ref="C27:F27"/>
    <mergeCell ref="A28:B29"/>
    <mergeCell ref="A18:B18"/>
    <mergeCell ref="C18:D18"/>
    <mergeCell ref="E18:F18"/>
    <mergeCell ref="A17:F17"/>
    <mergeCell ref="B255:B259"/>
    <mergeCell ref="A255:A257"/>
    <mergeCell ref="B229:B234"/>
    <mergeCell ref="B236:B242"/>
    <mergeCell ref="B243:B246"/>
    <mergeCell ref="A248:A252"/>
    <mergeCell ref="B248:B253"/>
  </mergeCells>
  <phoneticPr fontId="0" type="noConversion"/>
  <printOptions horizontalCentered="1"/>
  <pageMargins left="0.19685039370078741" right="0.19685039370078741" top="0.19685039370078741" bottom="0.19685039370078741" header="0.35433070866141736" footer="0"/>
  <pageSetup scale="68" orientation="portrait" horizontalDpi="360" verticalDpi="360"/>
  <headerFooter alignWithMargins="0"/>
  <rowBreaks count="4" manualBreakCount="4">
    <brk id="86" max="1048575" man="1"/>
    <brk id="133" max="1048575" man="1"/>
    <brk id="180" max="1048575" man="1"/>
    <brk id="227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 ">
  <dimension ref="A1:L308"/>
  <sheetViews>
    <sheetView showGridLines="0" view="pageBreakPreview" topLeftCell="B1" zoomScaleNormal="75" zoomScaleSheetLayoutView="100" workbookViewId="0">
      <pane ySplit="17" topLeftCell="A267" activePane="bottomLeft" state="frozen"/>
      <selection pane="bottomLeft" activeCell="H28" sqref="H28"/>
    </sheetView>
  </sheetViews>
  <sheetFormatPr baseColWidth="10" defaultRowHeight="12.75"/>
  <cols>
    <col min="1" max="1" width="12" customWidth="1" style="12"/>
    <col min="2" max="2" width="74.85546875" customWidth="1" style="12"/>
    <col min="3" max="3" width="8.42578125" customWidth="1" style="12"/>
    <col min="4" max="4" width="7.85546875" customWidth="1" style="12"/>
    <col min="5" max="5" width="8.5703125" customWidth="1" style="12"/>
    <col min="6" max="6" width="10.42578125" customWidth="1" style="12"/>
    <col min="7" max="7" width="9.85546875" customWidth="1" style="12"/>
    <col min="8" max="8" width="11" customWidth="1" style="12"/>
    <col min="9" max="9" width="12" customWidth="1" style="12"/>
    <col min="10" max="10" width="10.28515625" customWidth="1" style="12"/>
    <col min="11" max="11" width="17.85546875" customWidth="1" style="85"/>
    <col min="12" max="12" width="26.28515625" customWidth="1" style="12"/>
    <col min="13" max="16384" width="11.42578125" customWidth="1" style="12"/>
  </cols>
  <sheetData>
    <row r="1" ht="15">
      <c r="A1" s="123"/>
      <c r="B1" s="426" t="s">
        <v>54</v>
      </c>
      <c r="C1" s="426"/>
      <c r="D1" s="426"/>
      <c r="E1" s="426"/>
      <c r="F1" s="426"/>
      <c r="G1" s="426"/>
      <c r="H1" s="426"/>
      <c r="I1" s="426"/>
      <c r="J1" s="426"/>
      <c r="K1" s="426"/>
    </row>
    <row r="2" ht="15.75">
      <c r="A2" s="122"/>
      <c r="B2" s="426" t="s">
        <v>55</v>
      </c>
      <c r="C2" s="426"/>
      <c r="D2" s="426"/>
      <c r="E2" s="426"/>
      <c r="F2" s="426"/>
      <c r="G2" s="426"/>
      <c r="H2" s="426"/>
      <c r="I2" s="426"/>
      <c r="J2" s="426"/>
      <c r="K2" s="426"/>
    </row>
    <row r="3">
      <c r="A3" s="124"/>
      <c r="B3" s="427" t="s">
        <v>56</v>
      </c>
      <c r="C3" s="427"/>
      <c r="D3" s="427"/>
      <c r="E3" s="427"/>
      <c r="F3" s="427"/>
      <c r="G3" s="427"/>
      <c r="H3" s="427"/>
      <c r="I3" s="427"/>
      <c r="J3" s="427"/>
      <c r="K3" s="427"/>
    </row>
    <row r="4">
      <c r="A4" s="117"/>
      <c r="B4" s="127"/>
      <c r="C4" s="127"/>
      <c r="D4" s="127"/>
      <c r="E4" s="127"/>
      <c r="F4" s="127"/>
      <c r="G4" s="127"/>
    </row>
    <row r="5" ht="6.75" customHeight="1">
      <c r="A5" s="118"/>
      <c r="B5" s="128"/>
      <c r="C5" s="121"/>
      <c r="D5" s="121"/>
      <c r="E5" s="121"/>
      <c r="F5" s="121"/>
      <c r="G5"/>
    </row>
    <row r="6" ht="8.25" customHeight="1">
      <c r="A6" s="118"/>
      <c r="B6" s="128"/>
      <c r="C6" s="121"/>
      <c r="D6" s="121"/>
      <c r="E6" s="121"/>
      <c r="F6" s="121"/>
      <c r="G6"/>
    </row>
    <row r="7">
      <c r="A7" s="118"/>
      <c r="B7" s="129" t="s">
        <v>57</v>
      </c>
      <c r="C7" s="7"/>
      <c r="D7" s="130"/>
      <c r="E7" s="130"/>
      <c r="F7" s="130"/>
      <c r="G7"/>
      <c r="H7" s="133"/>
      <c r="I7" s="133"/>
      <c r="J7" s="133"/>
      <c r="K7" s="133"/>
      <c r="L7" s="133"/>
    </row>
    <row r="8" ht="18.75">
      <c r="A8" s="125"/>
      <c r="B8" s="129" t="s">
        <v>58</v>
      </c>
      <c r="C8" s="7"/>
      <c r="D8" s="130"/>
      <c r="E8" s="130"/>
      <c r="F8" s="130"/>
      <c r="G8"/>
      <c r="H8" s="133"/>
      <c r="I8" s="133"/>
      <c r="J8" s="133"/>
      <c r="K8" s="133"/>
      <c r="L8" s="133"/>
    </row>
    <row r="9">
      <c r="A9" s="126"/>
      <c r="B9" s="129" t="s">
        <v>59</v>
      </c>
      <c r="C9" s="7"/>
      <c r="D9" s="130"/>
      <c r="E9" s="130"/>
      <c r="F9" s="130"/>
      <c r="G9"/>
      <c r="H9" s="133"/>
      <c r="I9" s="133"/>
      <c r="J9" s="133"/>
      <c r="K9" s="133"/>
      <c r="L9" s="133"/>
    </row>
    <row r="10" ht="6.7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</row>
    <row r="11" ht="8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3"/>
    </row>
    <row r="12" ht="10.5" customHeight="1">
      <c r="A12" s="13" t="s">
        <v>60</v>
      </c>
      <c r="B12" s="131" t="s">
        <v>61</v>
      </c>
      <c r="C12" s="15"/>
      <c r="D12" s="15"/>
      <c r="E12" s="15"/>
      <c r="F12" s="15"/>
      <c r="G12" s="15"/>
      <c r="H12" s="15"/>
      <c r="I12" s="15"/>
      <c r="J12" s="15"/>
      <c r="K12" s="15"/>
      <c r="L12" s="13"/>
    </row>
    <row r="13" ht="7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3"/>
    </row>
    <row r="14" ht="10.5" customHeight="1">
      <c r="A14" s="13" t="s">
        <v>62</v>
      </c>
      <c r="B14" s="132" t="s">
        <v>63</v>
      </c>
      <c r="C14" s="16"/>
      <c r="D14" s="16"/>
      <c r="E14" s="16"/>
      <c r="F14" s="16"/>
      <c r="G14" s="16"/>
      <c r="H14" s="13"/>
      <c r="I14" s="13"/>
      <c r="J14" s="13"/>
      <c r="K14" s="14"/>
      <c r="L14" s="13"/>
    </row>
    <row r="15" ht="22.5" customHeight="1">
      <c r="A15" s="406" t="s">
        <v>64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</row>
    <row r="16">
      <c r="A16" s="405" t="s">
        <v>65</v>
      </c>
      <c r="B16" s="405" t="s">
        <v>66</v>
      </c>
      <c r="C16" s="407" t="s">
        <v>67</v>
      </c>
      <c r="D16" s="408" t="s">
        <v>68</v>
      </c>
      <c r="E16" s="408"/>
      <c r="F16" s="408"/>
      <c r="G16" s="405" t="s">
        <v>69</v>
      </c>
      <c r="H16" s="405" t="s">
        <v>70</v>
      </c>
      <c r="I16" s="405" t="s">
        <v>71</v>
      </c>
      <c r="J16" s="405" t="s">
        <v>72</v>
      </c>
      <c r="K16" s="428" t="s">
        <v>73</v>
      </c>
      <c r="L16" s="405" t="s">
        <v>47</v>
      </c>
    </row>
    <row r="17">
      <c r="A17" s="405"/>
      <c r="B17" s="405"/>
      <c r="C17" s="407"/>
      <c r="D17" s="9" t="s">
        <v>74</v>
      </c>
      <c r="E17" s="9" t="s">
        <v>75</v>
      </c>
      <c r="F17" s="9" t="s">
        <v>76</v>
      </c>
      <c r="G17" s="405"/>
      <c r="H17" s="405"/>
      <c r="I17" s="405"/>
      <c r="J17" s="405"/>
      <c r="K17" s="428"/>
      <c r="L17" s="405"/>
    </row>
    <row r="18" ht="15" customHeight="1">
      <c r="A18" s="86"/>
      <c r="B18" s="87" t="s">
        <v>77</v>
      </c>
      <c r="C18" s="19"/>
      <c r="D18" s="20"/>
      <c r="E18" s="21"/>
      <c r="F18" s="71"/>
      <c r="G18" s="35"/>
      <c r="H18" s="24"/>
      <c r="I18" s="36"/>
      <c r="J18" s="24"/>
      <c r="K18" s="35"/>
      <c r="L18" s="28"/>
    </row>
    <row r="19" ht="15" customHeight="1">
      <c r="A19" s="88" t="s">
        <v>78</v>
      </c>
      <c r="B19" s="89" t="s">
        <v>79</v>
      </c>
      <c r="C19" s="8"/>
      <c r="D19" s="8"/>
      <c r="E19" s="8"/>
      <c r="F19" s="8"/>
      <c r="G19" s="8"/>
      <c r="H19" s="8"/>
      <c r="I19" s="8"/>
      <c r="J19" s="8"/>
      <c r="K19" s="72"/>
      <c r="L19" s="28"/>
    </row>
    <row r="20" ht="16.5" customHeight="1">
      <c r="A20" s="90" t="e">
        <f>fism!#REF!</f>
        <v>#REF!</v>
      </c>
      <c r="B20" s="416" t="e">
        <f>fism!#REF!</f>
        <v>#REF!</v>
      </c>
      <c r="C20" s="19" t="s">
        <v>80</v>
      </c>
      <c r="D20" s="20"/>
      <c r="E20" s="30"/>
      <c r="F20" s="71"/>
      <c r="G20" s="35"/>
      <c r="H20" s="172">
        <v>1100</v>
      </c>
      <c r="I20" s="120">
        <v>1</v>
      </c>
      <c r="J20" s="24"/>
      <c r="K20" s="35">
        <f>H20*I20</f>
        <v>1100</v>
      </c>
      <c r="L20" s="28"/>
    </row>
    <row r="21" ht="16.5" customHeight="1">
      <c r="A21" s="90"/>
      <c r="B21" s="416"/>
      <c r="C21" s="19"/>
      <c r="D21" s="20"/>
      <c r="E21" s="21"/>
      <c r="F21" s="71"/>
      <c r="G21" s="35"/>
      <c r="H21" s="49"/>
      <c r="I21" s="96"/>
      <c r="J21" s="97"/>
      <c r="K21" s="53"/>
      <c r="L21" s="28"/>
    </row>
    <row r="22" ht="22.5" customHeight="1">
      <c r="A22" s="91" t="e">
        <f>fism!#REF!</f>
        <v>#REF!</v>
      </c>
      <c r="B22" s="416" t="e">
        <f>fism!#REF!</f>
        <v>#REF!</v>
      </c>
      <c r="C22" s="95" t="s">
        <v>81</v>
      </c>
      <c r="D22" s="20"/>
      <c r="E22" s="21"/>
      <c r="F22" s="71"/>
      <c r="G22" s="35"/>
      <c r="H22" s="173">
        <v>1100</v>
      </c>
      <c r="I22" s="36"/>
      <c r="J22" s="24"/>
      <c r="K22" s="35">
        <f>H22</f>
        <v>1100</v>
      </c>
      <c r="L22" s="28"/>
    </row>
    <row r="23" ht="15.75" customHeight="1">
      <c r="A23" s="91"/>
      <c r="B23" s="416"/>
      <c r="C23" s="19"/>
      <c r="D23" s="20"/>
      <c r="E23" s="21"/>
      <c r="F23" s="71"/>
      <c r="G23" s="35"/>
      <c r="H23" s="24"/>
      <c r="I23" s="36"/>
      <c r="J23" s="24"/>
      <c r="K23" s="35"/>
      <c r="L23" s="28"/>
    </row>
    <row r="24" ht="15" customHeight="1">
      <c r="A24" s="92" t="s">
        <v>82</v>
      </c>
      <c r="B24" s="93" t="s">
        <v>83</v>
      </c>
      <c r="C24" s="19"/>
      <c r="D24" s="20"/>
      <c r="E24" s="21"/>
      <c r="F24" s="71"/>
      <c r="G24" s="35"/>
      <c r="H24" s="24"/>
      <c r="I24" s="36"/>
      <c r="J24" s="24"/>
      <c r="K24" s="35"/>
      <c r="L24" s="28"/>
    </row>
    <row r="25" ht="15" customHeight="1">
      <c r="A25" s="92" t="s">
        <v>84</v>
      </c>
      <c r="B25" s="93" t="s">
        <v>85</v>
      </c>
      <c r="C25" s="19"/>
      <c r="D25" s="20"/>
      <c r="E25" s="21"/>
      <c r="F25" s="71"/>
      <c r="G25" s="35"/>
      <c r="H25" s="24"/>
      <c r="I25" s="36"/>
      <c r="J25" s="24"/>
      <c r="K25" s="35"/>
      <c r="L25" s="28"/>
    </row>
    <row r="26" ht="15.75" customHeight="1">
      <c r="A26" s="91" t="e">
        <f>fism!#REF!</f>
        <v>#REF!</v>
      </c>
      <c r="B26" s="416" t="e">
        <f>fism!#REF!</f>
        <v>#REF!</v>
      </c>
      <c r="C26" s="95" t="s">
        <v>86</v>
      </c>
      <c r="D26" s="20"/>
      <c r="E26" s="21"/>
      <c r="F26" s="71"/>
      <c r="G26" s="35"/>
      <c r="H26" s="173">
        <f>H22</f>
        <v>1100</v>
      </c>
      <c r="I26" s="120">
        <v>0.7</v>
      </c>
      <c r="J26" s="134">
        <v>0.15</v>
      </c>
      <c r="K26" s="35">
        <f>H26*I26*J26</f>
        <v>115.5</v>
      </c>
      <c r="L26" s="28"/>
    </row>
    <row r="27" ht="15.75" customHeight="1">
      <c r="A27" s="91"/>
      <c r="B27" s="416"/>
      <c r="C27" s="8"/>
      <c r="D27" s="8"/>
      <c r="E27" s="8"/>
      <c r="F27" s="8"/>
      <c r="G27" s="8"/>
      <c r="H27" s="8"/>
      <c r="I27" s="8"/>
      <c r="J27" s="8"/>
      <c r="K27" s="72"/>
      <c r="L27" s="28"/>
    </row>
    <row r="28" ht="15.75" customHeight="1">
      <c r="A28" s="91"/>
      <c r="B28" s="416"/>
      <c r="C28" s="8"/>
      <c r="D28" s="8"/>
      <c r="E28" s="8"/>
      <c r="F28" s="8"/>
      <c r="G28" s="8"/>
      <c r="H28" s="8"/>
      <c r="I28" s="8"/>
      <c r="J28" s="8"/>
      <c r="K28" s="72"/>
      <c r="L28" s="28"/>
    </row>
    <row r="29" ht="15" customHeight="1">
      <c r="A29" s="92" t="s">
        <v>87</v>
      </c>
      <c r="B29" s="93" t="s">
        <v>88</v>
      </c>
      <c r="C29" s="8"/>
      <c r="D29" s="8"/>
      <c r="E29" s="8"/>
      <c r="F29" s="8"/>
      <c r="G29" s="8"/>
      <c r="H29" s="8"/>
      <c r="I29" s="8"/>
      <c r="J29" s="8"/>
      <c r="K29" s="72"/>
      <c r="L29" s="28"/>
    </row>
    <row r="30" ht="17.25" customHeight="1">
      <c r="A30" s="91" t="e">
        <f>fism!#REF!</f>
        <v>#REF!</v>
      </c>
      <c r="B30" s="415" t="e">
        <f>fism!#REF!</f>
        <v>#REF!</v>
      </c>
      <c r="C30" s="95" t="s">
        <v>86</v>
      </c>
      <c r="D30" s="20"/>
      <c r="E30" s="21"/>
      <c r="F30" s="71"/>
      <c r="G30" s="120"/>
      <c r="H30" s="173">
        <f>H26</f>
        <v>1100</v>
      </c>
      <c r="I30" s="120">
        <f>I26</f>
        <v>0.7</v>
      </c>
      <c r="J30" s="134">
        <f>J26</f>
        <v>0.15</v>
      </c>
      <c r="K30" s="35">
        <f>H30*I30*J30</f>
        <v>115.5</v>
      </c>
      <c r="L30" s="28"/>
    </row>
    <row r="31" ht="17.25" customHeight="1">
      <c r="A31" s="91"/>
      <c r="B31" s="415"/>
      <c r="C31" s="95"/>
      <c r="D31" s="20"/>
      <c r="E31" s="21"/>
      <c r="F31" s="71"/>
      <c r="G31" s="35"/>
      <c r="H31" s="24"/>
      <c r="I31" s="36"/>
      <c r="J31" s="24"/>
      <c r="K31" s="35"/>
      <c r="L31" s="28"/>
    </row>
    <row r="32" ht="17.25" customHeight="1">
      <c r="A32" s="91"/>
      <c r="B32" s="415"/>
      <c r="C32" s="19"/>
      <c r="D32" s="20"/>
      <c r="E32" s="21"/>
      <c r="F32" s="71"/>
      <c r="G32" s="35"/>
      <c r="H32" s="24"/>
      <c r="I32" s="36"/>
      <c r="J32" s="24"/>
      <c r="K32" s="35"/>
      <c r="L32" s="28"/>
    </row>
    <row r="33" ht="12" customHeight="1">
      <c r="A33" s="91"/>
      <c r="B33" s="415"/>
      <c r="C33" s="19"/>
      <c r="D33" s="20"/>
      <c r="E33" s="21"/>
      <c r="F33" s="71"/>
      <c r="G33" s="35"/>
      <c r="H33" s="24"/>
      <c r="I33" s="36"/>
      <c r="J33" s="24"/>
      <c r="K33" s="35"/>
      <c r="L33" s="28"/>
    </row>
    <row r="34" ht="17.25" customHeight="1">
      <c r="A34" s="91"/>
      <c r="B34" s="106"/>
      <c r="C34" s="19"/>
      <c r="D34" s="20"/>
      <c r="E34" s="21"/>
      <c r="F34" s="71"/>
      <c r="G34" s="35"/>
      <c r="H34" s="24"/>
      <c r="I34" s="36"/>
      <c r="J34" s="24"/>
      <c r="K34" s="35"/>
      <c r="L34" s="28"/>
    </row>
    <row r="35" ht="15" customHeight="1">
      <c r="A35" s="88" t="s">
        <v>89</v>
      </c>
      <c r="B35" s="94" t="s">
        <v>90</v>
      </c>
      <c r="C35" s="19"/>
      <c r="D35" s="20"/>
      <c r="E35" s="21"/>
      <c r="F35" s="71"/>
      <c r="G35" s="35"/>
      <c r="H35" s="24"/>
      <c r="I35" s="36"/>
      <c r="J35" s="24"/>
      <c r="K35" s="35"/>
      <c r="L35" s="28"/>
    </row>
    <row r="36" ht="21" customHeight="1">
      <c r="A36" s="90" t="e">
        <f>fism!#REF!</f>
        <v>#REF!</v>
      </c>
      <c r="B36" s="424" t="e">
        <f>fism!#REF!</f>
        <v>#REF!</v>
      </c>
      <c r="C36" s="19" t="str">
        <f>+[4]Presupuesto!D26</f>
        <v>M3</v>
      </c>
      <c r="D36" s="20"/>
      <c r="E36" s="30"/>
      <c r="F36" s="71"/>
      <c r="G36" s="35"/>
      <c r="H36" s="24"/>
      <c r="I36" s="174">
        <v>1100</v>
      </c>
      <c r="J36" s="24">
        <v>0.4</v>
      </c>
      <c r="K36" s="138">
        <f>I36*J36</f>
        <v>440</v>
      </c>
      <c r="L36" s="420" t="s">
        <v>91</v>
      </c>
    </row>
    <row r="37" ht="16.5" customHeight="1">
      <c r="A37" s="90"/>
      <c r="B37" s="424"/>
      <c r="C37" s="19"/>
      <c r="D37" s="20"/>
      <c r="E37" s="30"/>
      <c r="F37" s="71"/>
      <c r="G37" s="35"/>
      <c r="H37" s="49" t="s">
        <v>92</v>
      </c>
      <c r="I37" s="96"/>
      <c r="J37" s="97">
        <v>0.4</v>
      </c>
      <c r="K37" s="35">
        <f>K36*0.5</f>
        <v>220</v>
      </c>
      <c r="L37" s="418"/>
    </row>
    <row r="38" ht="14.25" customHeight="1">
      <c r="A38" s="90"/>
      <c r="B38" s="424"/>
      <c r="C38" s="19"/>
      <c r="D38" s="20"/>
      <c r="E38" s="30"/>
      <c r="F38" s="71"/>
      <c r="G38" s="35"/>
      <c r="H38" s="24"/>
      <c r="I38" s="36"/>
      <c r="J38" s="24"/>
      <c r="K38" s="35"/>
      <c r="L38" s="419"/>
    </row>
    <row r="39" ht="14.25" customHeight="1">
      <c r="A39" s="90"/>
      <c r="B39" s="424"/>
      <c r="C39" s="19"/>
      <c r="D39" s="20"/>
      <c r="E39" s="30"/>
      <c r="F39" s="71"/>
      <c r="G39" s="35"/>
      <c r="H39" s="24"/>
      <c r="I39" s="36"/>
      <c r="J39" s="24"/>
      <c r="K39" s="35"/>
      <c r="L39" s="28"/>
    </row>
    <row r="40" ht="18" customHeight="1">
      <c r="A40" s="90"/>
      <c r="B40" s="424"/>
      <c r="C40" s="19"/>
      <c r="D40" s="20"/>
      <c r="E40" s="30"/>
      <c r="F40" s="71"/>
      <c r="G40" s="35"/>
      <c r="H40" s="24"/>
      <c r="I40" s="36"/>
      <c r="J40" s="24"/>
      <c r="K40" s="35"/>
      <c r="L40" s="28"/>
    </row>
    <row r="41" ht="18" customHeight="1">
      <c r="A41" s="90"/>
      <c r="B41" s="139"/>
      <c r="C41" s="19"/>
      <c r="D41" s="20"/>
      <c r="E41" s="30"/>
      <c r="F41" s="71"/>
      <c r="G41" s="35"/>
      <c r="H41" s="24"/>
      <c r="I41" s="36"/>
      <c r="J41" s="24"/>
      <c r="K41" s="35"/>
      <c r="L41" s="69"/>
    </row>
    <row r="42" ht="16.5" customHeight="1">
      <c r="A42" s="90" t="e">
        <f>fism!#REF!</f>
        <v>#REF!</v>
      </c>
      <c r="B42" s="416" t="e">
        <f>fism!#REF!</f>
        <v>#REF!</v>
      </c>
      <c r="C42" s="19" t="s">
        <v>86</v>
      </c>
      <c r="D42" s="20"/>
      <c r="E42" s="30"/>
      <c r="F42" s="71"/>
      <c r="G42" s="35"/>
      <c r="H42" s="24"/>
      <c r="I42" s="174">
        <v>140</v>
      </c>
      <c r="J42" s="24">
        <v>1</v>
      </c>
      <c r="K42" s="138">
        <f>I42*J42</f>
        <v>140</v>
      </c>
      <c r="L42" s="417"/>
    </row>
    <row r="43" ht="15" customHeight="1">
      <c r="A43" s="29"/>
      <c r="B43" s="416"/>
      <c r="C43" s="19"/>
      <c r="D43" s="20"/>
      <c r="E43" s="30"/>
      <c r="F43" s="71"/>
      <c r="G43" s="35"/>
      <c r="H43" s="49" t="s">
        <v>92</v>
      </c>
      <c r="I43" s="96"/>
      <c r="J43" s="97">
        <v>0.4</v>
      </c>
      <c r="K43" s="35">
        <f>K42*J43</f>
        <v>56</v>
      </c>
      <c r="L43" s="418"/>
    </row>
    <row r="44" ht="15" customHeight="1">
      <c r="A44" s="29"/>
      <c r="B44" s="416"/>
      <c r="C44" s="19"/>
      <c r="D44" s="20"/>
      <c r="E44" s="21"/>
      <c r="F44" s="71"/>
      <c r="G44" s="35"/>
      <c r="H44" s="49"/>
      <c r="I44" s="96"/>
      <c r="J44" s="97"/>
      <c r="K44" s="35"/>
      <c r="L44" s="419"/>
    </row>
    <row r="45" ht="15" customHeight="1">
      <c r="A45" s="29"/>
      <c r="B45" s="416"/>
      <c r="C45" s="19"/>
      <c r="D45" s="20"/>
      <c r="E45" s="21"/>
      <c r="F45" s="71"/>
      <c r="G45" s="35"/>
      <c r="H45" s="24"/>
      <c r="I45" s="36"/>
      <c r="J45" s="24"/>
      <c r="K45" s="35"/>
      <c r="L45" s="28"/>
    </row>
    <row r="46" ht="15" customHeight="1">
      <c r="A46" s="29"/>
      <c r="B46" s="416"/>
      <c r="C46" s="19"/>
      <c r="D46" s="20"/>
      <c r="E46" s="21"/>
      <c r="F46" s="71"/>
      <c r="G46" s="35"/>
      <c r="H46" s="24"/>
      <c r="I46" s="36"/>
      <c r="J46" s="24"/>
      <c r="K46" s="35"/>
      <c r="L46" s="28"/>
    </row>
    <row r="47" ht="15" customHeight="1">
      <c r="A47" s="29"/>
      <c r="B47" s="136"/>
      <c r="C47" s="19"/>
      <c r="D47" s="20"/>
      <c r="E47" s="21"/>
      <c r="F47" s="71"/>
      <c r="G47" s="35"/>
      <c r="H47" s="24"/>
      <c r="I47" s="36"/>
      <c r="J47" s="24"/>
      <c r="K47" s="35"/>
      <c r="L47" s="28"/>
    </row>
    <row r="48">
      <c r="A48" s="29" t="e">
        <f>fism!#REF!</f>
        <v>#REF!</v>
      </c>
      <c r="B48" s="416" t="e">
        <f>fism!#REF!</f>
        <v>#REF!</v>
      </c>
      <c r="C48" s="19" t="s">
        <v>86</v>
      </c>
      <c r="D48" s="20"/>
      <c r="E48" s="30"/>
      <c r="F48" s="71"/>
      <c r="G48" s="35"/>
      <c r="H48" s="24"/>
      <c r="I48" s="174">
        <v>16</v>
      </c>
      <c r="J48" s="24">
        <v>1</v>
      </c>
      <c r="K48" s="138">
        <f>I48*J48</f>
        <v>16</v>
      </c>
      <c r="L48" s="28"/>
    </row>
    <row r="49" ht="15">
      <c r="A49" s="29"/>
      <c r="B49" s="416"/>
      <c r="C49" s="19"/>
      <c r="D49" s="20"/>
      <c r="E49" s="30"/>
      <c r="F49" s="71"/>
      <c r="G49" s="35"/>
      <c r="H49" s="49" t="s">
        <v>92</v>
      </c>
      <c r="I49" s="96"/>
      <c r="J49" s="97">
        <v>0.4</v>
      </c>
      <c r="K49" s="35">
        <f>K48*J49</f>
        <v>6.4</v>
      </c>
      <c r="L49" s="28"/>
    </row>
    <row r="50" ht="15">
      <c r="A50" s="29"/>
      <c r="B50" s="416"/>
      <c r="C50" s="19"/>
      <c r="D50" s="20"/>
      <c r="E50" s="21"/>
      <c r="F50" s="71"/>
      <c r="G50" s="35"/>
      <c r="H50" s="49"/>
      <c r="I50" s="96"/>
      <c r="J50" s="97"/>
      <c r="K50" s="35"/>
      <c r="L50" s="28"/>
    </row>
    <row r="51">
      <c r="A51" s="29"/>
      <c r="B51" s="416"/>
      <c r="C51" s="19"/>
      <c r="D51" s="20"/>
      <c r="E51" s="21"/>
      <c r="F51" s="71"/>
      <c r="G51" s="35"/>
      <c r="H51" s="24"/>
      <c r="I51" s="36"/>
      <c r="J51" s="24"/>
      <c r="K51" s="35"/>
      <c r="L51" s="28"/>
    </row>
    <row r="52" ht="26.25" customHeight="1">
      <c r="A52" s="29"/>
      <c r="B52" s="416"/>
      <c r="C52" s="19"/>
      <c r="D52" s="20"/>
      <c r="E52" s="21"/>
      <c r="F52" s="71"/>
      <c r="G52" s="35"/>
      <c r="H52" s="24"/>
      <c r="I52" s="36"/>
      <c r="J52" s="24"/>
      <c r="K52" s="35"/>
      <c r="L52" s="28"/>
    </row>
    <row r="53" ht="15" customHeight="1">
      <c r="A53" s="29"/>
      <c r="B53" s="136"/>
      <c r="C53" s="19"/>
      <c r="D53" s="20"/>
      <c r="E53" s="21"/>
      <c r="F53" s="71"/>
      <c r="G53" s="35"/>
      <c r="H53" s="24"/>
      <c r="I53" s="107"/>
      <c r="J53" s="24"/>
      <c r="K53" s="35"/>
      <c r="L53" s="28"/>
    </row>
    <row r="54" ht="16.5" customHeight="1">
      <c r="A54" s="90" t="e">
        <f>fism!#REF!</f>
        <v>#REF!</v>
      </c>
      <c r="B54" s="416" t="e">
        <f>fism!#REF!</f>
        <v>#REF!</v>
      </c>
      <c r="C54" s="19" t="s">
        <v>86</v>
      </c>
      <c r="D54" s="20"/>
      <c r="E54" s="30"/>
      <c r="F54" s="71"/>
      <c r="G54" s="35"/>
      <c r="H54" s="24"/>
      <c r="I54" s="174">
        <v>1100</v>
      </c>
      <c r="J54" s="24">
        <v>0.6</v>
      </c>
      <c r="K54" s="108">
        <f>I54*J54</f>
        <v>660</v>
      </c>
      <c r="L54" s="140" t="s">
        <v>93</v>
      </c>
    </row>
    <row r="55" ht="15" customHeight="1">
      <c r="A55" s="29"/>
      <c r="B55" s="416"/>
      <c r="C55" s="19"/>
      <c r="D55" s="20"/>
      <c r="E55" s="30"/>
      <c r="F55" s="71"/>
      <c r="G55" s="35"/>
      <c r="H55" s="49" t="s">
        <v>92</v>
      </c>
      <c r="I55" s="96"/>
      <c r="J55" s="97">
        <v>0.4</v>
      </c>
      <c r="K55" s="35">
        <f>K54*J55</f>
        <v>264</v>
      </c>
      <c r="L55" s="28"/>
    </row>
    <row r="56" ht="15" customHeight="1">
      <c r="A56" s="29"/>
      <c r="B56" s="416"/>
      <c r="C56" s="19"/>
      <c r="D56" s="20"/>
      <c r="E56" s="21"/>
      <c r="F56" s="71"/>
      <c r="G56" s="35"/>
      <c r="H56" s="49"/>
      <c r="I56" s="96"/>
      <c r="J56" s="97"/>
      <c r="K56" s="35"/>
      <c r="L56" s="28"/>
    </row>
    <row r="57" ht="15" customHeight="1">
      <c r="A57" s="29"/>
      <c r="B57" s="416"/>
      <c r="C57" s="19"/>
      <c r="D57" s="20"/>
      <c r="E57" s="21"/>
      <c r="F57" s="71"/>
      <c r="G57" s="35"/>
      <c r="H57" s="49"/>
      <c r="I57" s="96"/>
      <c r="J57" s="97"/>
      <c r="K57" s="35"/>
      <c r="L57" s="28"/>
    </row>
    <row r="58" ht="15" customHeight="1">
      <c r="A58" s="29"/>
      <c r="B58" s="416"/>
      <c r="C58" s="19"/>
      <c r="D58" s="20"/>
      <c r="E58" s="21"/>
      <c r="F58" s="71"/>
      <c r="G58" s="35"/>
      <c r="H58" s="49"/>
      <c r="I58" s="96"/>
      <c r="J58" s="97"/>
      <c r="K58" s="35"/>
      <c r="L58" s="28"/>
    </row>
    <row r="59" ht="15" customHeight="1">
      <c r="A59" s="29"/>
      <c r="B59" s="416"/>
      <c r="C59" s="19"/>
      <c r="D59" s="20"/>
      <c r="E59" s="21"/>
      <c r="F59" s="71"/>
      <c r="G59" s="35"/>
      <c r="H59" s="24"/>
      <c r="I59" s="36"/>
      <c r="J59" s="24"/>
      <c r="K59" s="35"/>
      <c r="L59" s="28"/>
    </row>
    <row r="60" ht="15" customHeight="1">
      <c r="A60" s="29"/>
      <c r="B60" s="136"/>
      <c r="C60" s="19"/>
      <c r="D60" s="20"/>
      <c r="E60" s="21"/>
      <c r="F60" s="71"/>
      <c r="G60" s="35"/>
      <c r="H60" s="24"/>
      <c r="I60" s="36"/>
      <c r="J60" s="24"/>
      <c r="K60" s="35"/>
      <c r="L60" s="28"/>
    </row>
    <row r="61" ht="16.5" customHeight="1">
      <c r="A61" s="90" t="e">
        <f>fism!#REF!</f>
        <v>#REF!</v>
      </c>
      <c r="B61" s="416" t="e">
        <f>fism!#REF!</f>
        <v>#REF!</v>
      </c>
      <c r="C61" s="19" t="s">
        <v>86</v>
      </c>
      <c r="D61" s="20"/>
      <c r="E61" s="30"/>
      <c r="F61" s="71"/>
      <c r="G61" s="35"/>
      <c r="H61" s="24"/>
      <c r="I61" s="174">
        <v>1100</v>
      </c>
      <c r="J61" s="24">
        <v>0.6</v>
      </c>
      <c r="K61" s="108">
        <f>I61*J61</f>
        <v>660</v>
      </c>
      <c r="L61" s="140" t="s">
        <v>93</v>
      </c>
    </row>
    <row r="62" ht="15" customHeight="1">
      <c r="A62" s="29"/>
      <c r="B62" s="416"/>
      <c r="C62" s="19"/>
      <c r="D62" s="20"/>
      <c r="E62" s="30"/>
      <c r="F62" s="71"/>
      <c r="G62" s="35"/>
      <c r="H62" s="49" t="s">
        <v>94</v>
      </c>
      <c r="I62" s="96"/>
      <c r="J62" s="97">
        <v>0.6</v>
      </c>
      <c r="K62" s="35">
        <f>K61*J62</f>
        <v>396</v>
      </c>
      <c r="L62" s="28"/>
    </row>
    <row r="63" ht="15" customHeight="1">
      <c r="A63" s="29"/>
      <c r="B63" s="416"/>
      <c r="C63" s="19"/>
      <c r="D63" s="20"/>
      <c r="E63" s="21"/>
      <c r="F63" s="71"/>
      <c r="G63" s="35"/>
      <c r="H63" s="49"/>
      <c r="I63" s="96"/>
      <c r="J63" s="97"/>
      <c r="K63" s="35"/>
      <c r="L63" s="28"/>
    </row>
    <row r="64" ht="15" customHeight="1">
      <c r="A64" s="29"/>
      <c r="B64" s="416"/>
      <c r="C64" s="19"/>
      <c r="D64" s="20"/>
      <c r="E64" s="21"/>
      <c r="F64" s="71"/>
      <c r="G64" s="35"/>
      <c r="H64" s="49"/>
      <c r="I64" s="96"/>
      <c r="J64" s="97"/>
      <c r="K64" s="35"/>
      <c r="L64" s="28"/>
    </row>
    <row r="65" ht="15" customHeight="1">
      <c r="A65" s="29"/>
      <c r="B65" s="416"/>
      <c r="C65" s="19"/>
      <c r="D65" s="20"/>
      <c r="E65" s="21"/>
      <c r="F65" s="71"/>
      <c r="G65" s="35"/>
      <c r="H65" s="24"/>
      <c r="I65" s="36"/>
      <c r="J65" s="24"/>
      <c r="K65" s="35"/>
      <c r="L65" s="28"/>
    </row>
    <row r="66" ht="15" customHeight="1">
      <c r="A66" s="29"/>
      <c r="B66" s="37"/>
      <c r="C66" s="19"/>
      <c r="D66" s="20"/>
      <c r="E66" s="21"/>
      <c r="F66" s="22"/>
      <c r="G66" s="35"/>
      <c r="H66" s="24"/>
      <c r="I66" s="25"/>
      <c r="J66" s="26"/>
      <c r="K66" s="27"/>
      <c r="L66" s="28"/>
    </row>
    <row r="67">
      <c r="A67" s="90" t="e">
        <f>fism!#REF!</f>
        <v>#REF!</v>
      </c>
      <c r="B67" s="416" t="e">
        <f>fism!#REF!</f>
        <v>#REF!</v>
      </c>
      <c r="C67" s="19" t="s">
        <v>86</v>
      </c>
      <c r="D67" s="20"/>
      <c r="E67" s="30"/>
      <c r="F67" s="71"/>
      <c r="G67" s="35"/>
      <c r="H67" s="24"/>
      <c r="I67" s="174">
        <v>110</v>
      </c>
      <c r="J67" s="24">
        <v>0.6</v>
      </c>
      <c r="K67" s="108">
        <f>I67*J67</f>
        <v>66</v>
      </c>
      <c r="L67" s="140" t="s">
        <v>93</v>
      </c>
    </row>
    <row r="68" ht="15" customHeight="1">
      <c r="A68" s="29"/>
      <c r="B68" s="416"/>
      <c r="C68" s="19"/>
      <c r="D68" s="20"/>
      <c r="E68" s="30"/>
      <c r="F68" s="71"/>
      <c r="G68" s="35"/>
      <c r="H68" s="49" t="s">
        <v>94</v>
      </c>
      <c r="I68" s="96"/>
      <c r="J68" s="97">
        <v>0.6</v>
      </c>
      <c r="K68" s="175">
        <f>K67*J68</f>
        <v>39.6</v>
      </c>
      <c r="L68" s="28"/>
    </row>
    <row r="69" ht="15" customHeight="1">
      <c r="A69" s="29"/>
      <c r="B69" s="416"/>
      <c r="C69" s="19"/>
      <c r="D69" s="20"/>
      <c r="E69" s="21"/>
      <c r="F69" s="22"/>
      <c r="G69" s="35"/>
      <c r="H69" s="24"/>
      <c r="I69" s="25"/>
      <c r="J69" s="26"/>
      <c r="K69" s="27"/>
      <c r="L69" s="28"/>
    </row>
    <row r="70" ht="15" customHeight="1">
      <c r="A70" s="29"/>
      <c r="B70" s="416"/>
      <c r="C70" s="19"/>
      <c r="D70" s="20"/>
      <c r="E70" s="21"/>
      <c r="F70" s="22"/>
      <c r="G70" s="35"/>
      <c r="H70" s="24"/>
      <c r="I70" s="25"/>
      <c r="J70" s="26"/>
      <c r="K70" s="27"/>
      <c r="L70" s="28"/>
    </row>
    <row r="71" ht="21" customHeight="1">
      <c r="A71" s="29"/>
      <c r="B71" s="416"/>
      <c r="C71" s="19"/>
      <c r="D71" s="20"/>
      <c r="E71" s="21"/>
      <c r="F71" s="22"/>
      <c r="G71" s="35"/>
      <c r="H71" s="24"/>
      <c r="I71" s="25"/>
      <c r="J71" s="26"/>
      <c r="K71" s="27"/>
      <c r="L71" s="28"/>
    </row>
    <row r="72">
      <c r="A72" s="29"/>
      <c r="B72" s="141"/>
      <c r="C72" s="19"/>
      <c r="D72" s="20"/>
      <c r="E72" s="21"/>
      <c r="F72" s="22"/>
      <c r="G72" s="35"/>
      <c r="H72" s="24"/>
      <c r="I72" s="25"/>
      <c r="J72" s="26"/>
      <c r="K72" s="27"/>
      <c r="L72" s="28"/>
    </row>
    <row r="73">
      <c r="A73" s="145" t="s">
        <v>95</v>
      </c>
      <c r="B73" s="416" t="s">
        <v>96</v>
      </c>
      <c r="C73" s="19" t="s">
        <v>86</v>
      </c>
      <c r="D73" s="20"/>
      <c r="E73" s="30"/>
      <c r="F73" s="71"/>
      <c r="G73" s="35"/>
      <c r="H73" s="24"/>
      <c r="I73" s="174">
        <v>110</v>
      </c>
      <c r="J73" s="24">
        <v>0.6</v>
      </c>
      <c r="K73" s="108">
        <f>I73*J73</f>
        <v>66</v>
      </c>
      <c r="L73" s="140" t="s">
        <v>93</v>
      </c>
    </row>
    <row r="74" ht="15">
      <c r="A74" s="29"/>
      <c r="B74" s="416"/>
      <c r="C74" s="19"/>
      <c r="D74" s="20"/>
      <c r="E74" s="30"/>
      <c r="F74" s="71"/>
      <c r="G74" s="35"/>
      <c r="H74" s="49" t="s">
        <v>94</v>
      </c>
      <c r="I74" s="96"/>
      <c r="J74" s="97">
        <v>0.6</v>
      </c>
      <c r="K74" s="175">
        <f>K73*J74</f>
        <v>39.6</v>
      </c>
      <c r="L74" s="28"/>
    </row>
    <row r="75">
      <c r="A75" s="29"/>
      <c r="B75" s="416"/>
      <c r="C75" s="19"/>
      <c r="D75" s="20"/>
      <c r="E75" s="21"/>
      <c r="F75" s="22"/>
      <c r="G75" s="35"/>
      <c r="H75" s="24"/>
      <c r="I75" s="25"/>
      <c r="J75" s="26"/>
      <c r="K75" s="27"/>
      <c r="L75" s="28"/>
    </row>
    <row r="76" ht="15" customHeight="1">
      <c r="A76" s="29"/>
      <c r="B76" s="416"/>
      <c r="C76" s="19"/>
      <c r="D76" s="20"/>
      <c r="E76" s="21"/>
      <c r="F76" s="22"/>
      <c r="G76" s="35"/>
      <c r="H76" s="24"/>
      <c r="I76" s="25"/>
      <c r="J76" s="26"/>
      <c r="K76" s="27"/>
      <c r="L76" s="28"/>
    </row>
    <row r="77" ht="24.75" customHeight="1">
      <c r="A77" s="29"/>
      <c r="B77" s="416"/>
      <c r="C77" s="19"/>
      <c r="D77" s="20"/>
      <c r="E77" s="21"/>
      <c r="F77" s="22"/>
      <c r="G77" s="35"/>
      <c r="H77" s="24"/>
      <c r="I77" s="25"/>
      <c r="J77" s="26"/>
      <c r="K77" s="27"/>
      <c r="L77" s="28"/>
    </row>
    <row r="78">
      <c r="A78" s="29"/>
      <c r="B78" s="136"/>
      <c r="C78" s="19"/>
      <c r="D78" s="137"/>
      <c r="E78" s="142"/>
      <c r="F78" s="143"/>
      <c r="G78" s="144"/>
      <c r="H78" s="24"/>
      <c r="I78" s="25"/>
      <c r="J78" s="26"/>
      <c r="K78" s="27"/>
      <c r="L78" s="28"/>
    </row>
    <row r="79" ht="15" customHeight="1">
      <c r="A79" s="90" t="e">
        <f>fism!#REF!</f>
        <v>#REF!</v>
      </c>
      <c r="B79" s="416" t="e">
        <f>fism!#REF!</f>
        <v>#REF!</v>
      </c>
      <c r="C79" s="19" t="s">
        <v>86</v>
      </c>
      <c r="D79" s="395" t="s">
        <v>97</v>
      </c>
      <c r="E79" s="396"/>
      <c r="F79" s="396"/>
      <c r="G79" s="397"/>
      <c r="H79" s="24"/>
      <c r="I79" s="36"/>
      <c r="J79" s="24"/>
      <c r="K79" s="108">
        <f>+I54</f>
        <v>1100</v>
      </c>
      <c r="L79" s="28"/>
    </row>
    <row r="80" ht="15" customHeight="1">
      <c r="A80" s="54"/>
      <c r="B80" s="416"/>
      <c r="C80" s="19"/>
      <c r="D80" s="111" t="s">
        <v>98</v>
      </c>
      <c r="E80" s="112"/>
      <c r="F80" s="113"/>
      <c r="G80" s="35"/>
      <c r="H80" s="49"/>
      <c r="I80" s="96"/>
      <c r="J80" s="97"/>
      <c r="K80" s="108">
        <f>+K26*-1</f>
        <v>-115.5</v>
      </c>
      <c r="L80" s="28"/>
    </row>
    <row r="81" ht="15" customHeight="1">
      <c r="A81" s="54"/>
      <c r="B81" s="416"/>
      <c r="C81" s="19"/>
      <c r="D81" s="395" t="s">
        <v>99</v>
      </c>
      <c r="E81" s="396"/>
      <c r="F81" s="397"/>
      <c r="G81" s="108">
        <f>+K112</f>
        <v>1800</v>
      </c>
      <c r="H81" s="24" t="s">
        <v>100</v>
      </c>
      <c r="I81" s="96">
        <v>0.07</v>
      </c>
      <c r="J81" s="97"/>
      <c r="K81" s="110">
        <f>G81*I81*(-1)</f>
        <v>-126.00000000000001</v>
      </c>
      <c r="L81" s="28"/>
    </row>
    <row r="82" ht="20.25" customHeight="1">
      <c r="A82" s="54"/>
      <c r="B82" s="416"/>
      <c r="C82" s="19"/>
      <c r="D82" s="20"/>
      <c r="E82" s="21"/>
      <c r="F82" s="71"/>
      <c r="G82" s="35"/>
      <c r="H82" s="49"/>
      <c r="I82" s="96"/>
      <c r="J82" s="97" t="s">
        <v>28</v>
      </c>
      <c r="K82" s="176">
        <f>SUM(K79:K81)</f>
        <v>858.5</v>
      </c>
      <c r="L82" s="28"/>
    </row>
    <row r="83" ht="15" customHeight="1">
      <c r="A83" s="29"/>
      <c r="B83" s="67"/>
      <c r="C83" s="19"/>
      <c r="D83" s="20"/>
      <c r="E83" s="21"/>
      <c r="F83" s="71"/>
      <c r="G83" s="35"/>
      <c r="H83" s="24"/>
      <c r="I83" s="36"/>
      <c r="J83" s="24"/>
      <c r="K83" s="35"/>
      <c r="L83" s="28"/>
    </row>
    <row r="84" ht="15" customHeight="1">
      <c r="A84" s="90" t="e">
        <f>fism!#REF!</f>
        <v>#REF!</v>
      </c>
      <c r="B84" s="398" t="e">
        <f>fism!#REF!</f>
        <v>#REF!</v>
      </c>
      <c r="C84" s="19" t="s">
        <v>101</v>
      </c>
      <c r="D84" s="20"/>
      <c r="E84" s="30"/>
      <c r="F84" s="71"/>
      <c r="G84" s="108" t="s">
        <v>102</v>
      </c>
      <c r="H84" s="24">
        <f>+K82</f>
        <v>858.5</v>
      </c>
      <c r="I84" s="109">
        <v>2</v>
      </c>
      <c r="J84" s="24"/>
      <c r="K84" s="175">
        <f>H84*I84</f>
        <v>1717</v>
      </c>
      <c r="L84" s="28"/>
    </row>
    <row r="85" ht="15" customHeight="1">
      <c r="A85" s="29"/>
      <c r="B85" s="399"/>
      <c r="C85" s="19"/>
      <c r="D85" s="20"/>
      <c r="E85" s="21"/>
      <c r="F85" s="71"/>
      <c r="G85" s="35"/>
      <c r="H85" s="49"/>
      <c r="I85" s="96"/>
      <c r="J85" s="97"/>
      <c r="K85" s="35"/>
      <c r="L85" s="28"/>
    </row>
    <row r="86" ht="15" customHeight="1">
      <c r="A86" s="54"/>
      <c r="B86" s="399"/>
      <c r="C86" s="19"/>
      <c r="D86" s="20"/>
      <c r="E86" s="21"/>
      <c r="F86" s="71"/>
      <c r="G86" s="35"/>
      <c r="H86" s="24"/>
      <c r="I86" s="36"/>
      <c r="J86" s="24"/>
      <c r="K86" s="35"/>
      <c r="L86" s="28"/>
    </row>
    <row r="87" ht="18.75" customHeight="1">
      <c r="A87" s="29"/>
      <c r="B87" s="402"/>
      <c r="C87" s="19"/>
      <c r="D87" s="20"/>
      <c r="E87" s="21"/>
      <c r="F87" s="71"/>
      <c r="G87" s="35"/>
      <c r="H87" s="24"/>
      <c r="I87" s="36"/>
      <c r="J87" s="24"/>
      <c r="K87" s="35"/>
      <c r="L87" s="28"/>
    </row>
    <row r="88" ht="15" customHeight="1">
      <c r="A88" s="10" t="s">
        <v>103</v>
      </c>
      <c r="B88" s="11" t="s">
        <v>104</v>
      </c>
      <c r="C88" s="19"/>
      <c r="D88" s="20"/>
      <c r="E88" s="21"/>
      <c r="F88" s="22"/>
      <c r="G88" s="23"/>
      <c r="H88" s="24"/>
      <c r="I88" s="25"/>
      <c r="J88" s="26"/>
      <c r="K88" s="27"/>
      <c r="L88" s="28"/>
    </row>
    <row r="89" ht="15" customHeight="1">
      <c r="A89" s="29" t="e">
        <f>fism!#REF!</f>
        <v>#REF!</v>
      </c>
      <c r="B89" s="398" t="e">
        <f>fism!#REF!</f>
        <v>#REF!</v>
      </c>
      <c r="C89" s="19" t="s">
        <v>86</v>
      </c>
      <c r="D89" s="20"/>
      <c r="E89" s="30" t="s">
        <v>105</v>
      </c>
      <c r="F89" s="71"/>
      <c r="G89" s="35"/>
      <c r="H89" s="24"/>
      <c r="I89" s="36"/>
      <c r="J89" s="24"/>
      <c r="K89" s="175">
        <v>248.75</v>
      </c>
      <c r="L89" s="50"/>
    </row>
    <row r="90" ht="15" customHeight="1">
      <c r="A90" s="29"/>
      <c r="B90" s="399"/>
      <c r="C90" s="19"/>
      <c r="D90" s="20"/>
      <c r="E90" s="21"/>
      <c r="F90" s="71"/>
      <c r="G90" s="35"/>
      <c r="H90" s="49"/>
      <c r="I90" s="96"/>
      <c r="J90" s="97"/>
      <c r="K90" s="53"/>
      <c r="L90" s="28"/>
    </row>
    <row r="91" ht="15" customHeight="1">
      <c r="A91" s="29"/>
      <c r="B91" s="399"/>
      <c r="C91" s="19"/>
      <c r="D91" s="54"/>
      <c r="E91" s="54"/>
      <c r="F91" s="51"/>
      <c r="G91" s="49"/>
      <c r="H91" s="49"/>
      <c r="I91" s="49"/>
      <c r="J91" s="52"/>
      <c r="K91" s="55"/>
      <c r="L91" s="28"/>
    </row>
    <row r="92" ht="15" customHeight="1">
      <c r="A92" s="56"/>
      <c r="B92" s="399"/>
      <c r="C92" s="57"/>
      <c r="D92" s="54"/>
      <c r="E92" s="54"/>
      <c r="F92" s="51"/>
      <c r="G92" s="49"/>
      <c r="H92" s="49"/>
      <c r="I92" s="49"/>
      <c r="J92" s="52"/>
      <c r="K92" s="52"/>
      <c r="L92" s="28"/>
    </row>
    <row r="93" ht="15" customHeight="1">
      <c r="A93" s="29"/>
      <c r="B93" s="402"/>
      <c r="C93" s="19"/>
      <c r="D93" s="54"/>
      <c r="E93" s="54"/>
      <c r="F93" s="51"/>
      <c r="G93" s="49"/>
      <c r="H93" s="49"/>
      <c r="I93" s="59"/>
      <c r="J93" s="52"/>
      <c r="K93" s="60"/>
      <c r="L93" s="28"/>
    </row>
    <row r="94" ht="15" customHeight="1">
      <c r="A94" s="29"/>
      <c r="B94" s="98"/>
      <c r="C94" s="19"/>
      <c r="D94" s="54"/>
      <c r="E94" s="54"/>
      <c r="F94" s="51"/>
      <c r="G94" s="49"/>
      <c r="H94" s="49"/>
      <c r="I94" s="59"/>
      <c r="J94" s="52"/>
      <c r="K94" s="60"/>
      <c r="L94" s="28"/>
    </row>
    <row r="95" ht="15" customHeight="1">
      <c r="A95" s="29" t="e">
        <f>fism!#REF!</f>
        <v>#REF!</v>
      </c>
      <c r="B95" s="400" t="e">
        <f>fism!#REF!</f>
        <v>#REF!</v>
      </c>
      <c r="C95" s="19" t="s">
        <v>86</v>
      </c>
      <c r="D95" s="20"/>
      <c r="E95" s="30" t="s">
        <v>105</v>
      </c>
      <c r="F95" s="71"/>
      <c r="G95" s="35"/>
      <c r="H95" s="24"/>
      <c r="I95" s="36"/>
      <c r="J95" s="24"/>
      <c r="K95" s="175">
        <v>875.5</v>
      </c>
      <c r="L95" s="50"/>
    </row>
    <row r="96" ht="15.75" customHeight="1">
      <c r="A96" s="29"/>
      <c r="B96" s="400"/>
      <c r="C96" s="19"/>
      <c r="D96" s="54"/>
      <c r="E96" s="54"/>
      <c r="F96" s="51"/>
      <c r="G96" s="49"/>
      <c r="H96" s="49"/>
      <c r="I96" s="49"/>
      <c r="J96" s="52"/>
      <c r="K96" s="52"/>
      <c r="L96" s="28"/>
    </row>
    <row r="97" ht="20.25" customHeight="1">
      <c r="A97" s="29"/>
      <c r="B97" s="400"/>
      <c r="C97" s="19"/>
      <c r="D97" s="54"/>
      <c r="E97" s="54"/>
      <c r="F97" s="51"/>
      <c r="G97" s="49"/>
      <c r="H97" s="49"/>
      <c r="I97" s="49"/>
      <c r="J97" s="52"/>
      <c r="K97" s="55"/>
      <c r="L97" s="28"/>
    </row>
    <row r="98" ht="15">
      <c r="A98" s="29"/>
      <c r="B98" s="98"/>
      <c r="C98" s="19"/>
      <c r="D98" s="54"/>
      <c r="E98" s="54"/>
      <c r="F98" s="51"/>
      <c r="G98" s="146"/>
      <c r="H98" s="147"/>
      <c r="I98" s="49"/>
      <c r="J98" s="148"/>
      <c r="K98" s="149"/>
      <c r="L98" s="28"/>
    </row>
    <row r="99" ht="20.25" customHeight="1">
      <c r="A99" s="29" t="e">
        <f>fism!#REF!</f>
        <v>#REF!</v>
      </c>
      <c r="B99" s="398" t="e">
        <f>fism!#REF!</f>
        <v>#REF!</v>
      </c>
      <c r="C99" s="19" t="s">
        <v>86</v>
      </c>
      <c r="D99" s="20"/>
      <c r="E99" s="30" t="s">
        <v>105</v>
      </c>
      <c r="F99" s="71"/>
      <c r="G99" s="35"/>
      <c r="H99" s="24"/>
      <c r="I99" s="36"/>
      <c r="J99" s="24"/>
      <c r="K99" s="175">
        <v>650.6</v>
      </c>
      <c r="L99" s="28"/>
    </row>
    <row r="100" ht="15">
      <c r="A100" s="29"/>
      <c r="B100" s="399"/>
      <c r="C100" s="19"/>
      <c r="D100" s="54"/>
      <c r="E100" s="54"/>
      <c r="F100" s="51"/>
      <c r="G100" s="49"/>
      <c r="H100" s="49"/>
      <c r="I100" s="49"/>
      <c r="J100" s="52"/>
      <c r="K100" s="52"/>
      <c r="L100" s="28"/>
    </row>
    <row r="101" ht="15">
      <c r="A101" s="29"/>
      <c r="B101" s="399"/>
      <c r="C101" s="19"/>
      <c r="D101" s="54"/>
      <c r="E101" s="54"/>
      <c r="F101" s="51"/>
      <c r="G101" s="49"/>
      <c r="H101" s="49"/>
      <c r="I101" s="49"/>
      <c r="J101" s="52"/>
      <c r="K101" s="55"/>
      <c r="L101" s="28"/>
    </row>
    <row r="102" ht="15">
      <c r="A102" s="29"/>
      <c r="B102" s="98"/>
      <c r="C102" s="19"/>
      <c r="D102" s="54"/>
      <c r="E102" s="54"/>
      <c r="F102" s="51"/>
      <c r="G102" s="146"/>
      <c r="H102" s="147"/>
      <c r="I102" s="49"/>
      <c r="J102" s="148"/>
      <c r="K102" s="149"/>
      <c r="L102" s="28"/>
    </row>
    <row r="103" ht="15" customHeight="1">
      <c r="A103" s="17" t="s">
        <v>106</v>
      </c>
      <c r="B103" s="18" t="s">
        <v>107</v>
      </c>
      <c r="C103" s="19"/>
      <c r="D103" s="20"/>
      <c r="E103" s="20"/>
      <c r="F103" s="21"/>
      <c r="G103" s="22"/>
      <c r="H103" s="23"/>
      <c r="I103" s="24"/>
      <c r="J103" s="25"/>
      <c r="K103" s="26"/>
      <c r="L103" s="28"/>
    </row>
    <row r="104" ht="15" customHeight="1">
      <c r="A104" s="29" t="e">
        <f>fism!#REF!</f>
        <v>#REF!</v>
      </c>
      <c r="B104" s="398" t="e">
        <f>fism!#REF!</f>
        <v>#REF!</v>
      </c>
      <c r="C104" s="19" t="e">
        <f>fism!#REF!</f>
        <v>#REF!</v>
      </c>
      <c r="D104" s="20"/>
      <c r="E104" s="30" t="s">
        <v>105</v>
      </c>
      <c r="F104" s="71"/>
      <c r="G104" s="35"/>
      <c r="H104" s="24"/>
      <c r="I104" s="36"/>
      <c r="J104" s="24"/>
      <c r="K104" s="175">
        <v>0</v>
      </c>
      <c r="L104" s="28"/>
    </row>
    <row r="105" ht="15" customHeight="1">
      <c r="A105" s="29"/>
      <c r="B105" s="399"/>
      <c r="C105" s="19"/>
      <c r="D105" s="20"/>
      <c r="E105" s="20"/>
      <c r="F105" s="21"/>
      <c r="G105" s="22"/>
      <c r="H105" s="23"/>
      <c r="I105" s="24"/>
      <c r="J105" s="25"/>
      <c r="K105" s="26"/>
      <c r="L105" s="28"/>
    </row>
    <row r="106" ht="15" customHeight="1">
      <c r="A106" s="29"/>
      <c r="B106" s="399"/>
      <c r="C106" s="19"/>
      <c r="D106" s="20"/>
      <c r="E106" s="20"/>
      <c r="F106" s="21"/>
      <c r="G106" s="22"/>
      <c r="H106" s="23"/>
      <c r="I106" s="24"/>
      <c r="J106" s="25"/>
      <c r="K106" s="26"/>
      <c r="L106" s="28"/>
    </row>
    <row r="107" ht="15" customHeight="1">
      <c r="A107" s="29"/>
      <c r="B107" s="399"/>
      <c r="C107" s="19"/>
      <c r="D107" s="20"/>
      <c r="E107" s="20"/>
      <c r="F107" s="21"/>
      <c r="G107" s="22"/>
      <c r="H107" s="23"/>
      <c r="I107" s="24"/>
      <c r="J107" s="25"/>
      <c r="K107" s="26"/>
      <c r="L107" s="28"/>
    </row>
    <row r="108" ht="15" customHeight="1">
      <c r="A108" s="29"/>
      <c r="B108" s="402"/>
      <c r="C108" s="19"/>
      <c r="D108" s="20"/>
      <c r="E108" s="20"/>
      <c r="F108" s="21"/>
      <c r="G108" s="22"/>
      <c r="H108" s="23"/>
      <c r="I108" s="24"/>
      <c r="J108" s="25"/>
      <c r="K108" s="26"/>
      <c r="L108" s="28"/>
    </row>
    <row r="109" ht="15" customHeight="1">
      <c r="A109" s="29"/>
      <c r="B109" s="162"/>
      <c r="C109" s="19"/>
      <c r="D109" s="20"/>
      <c r="E109" s="20"/>
      <c r="F109" s="21"/>
      <c r="G109" s="22"/>
      <c r="H109" s="23"/>
      <c r="I109" s="24"/>
      <c r="J109" s="25"/>
      <c r="K109" s="26"/>
      <c r="L109" s="28"/>
    </row>
    <row r="110" ht="15" customHeight="1">
      <c r="A110" s="17" t="str">
        <f>+[4]Presupuesto!B110</f>
        <v>A1121</v>
      </c>
      <c r="B110" s="18" t="str">
        <f>+[4]Presupuesto!C110</f>
        <v>Sum. e Inst. Tuberia pvc Hidraulico y Sanitario</v>
      </c>
      <c r="C110" s="19"/>
      <c r="D110" s="20"/>
      <c r="E110" s="20"/>
      <c r="F110" s="21"/>
      <c r="G110" s="22"/>
      <c r="H110" s="23"/>
      <c r="I110" s="24"/>
      <c r="J110" s="25"/>
      <c r="K110" s="26"/>
      <c r="L110" s="28"/>
    </row>
    <row r="111" ht="15" customHeight="1">
      <c r="A111" s="17" t="str">
        <f>+[4]Presupuesto!B111</f>
        <v>A112102</v>
      </c>
      <c r="B111" s="18" t="str">
        <f>+[4]Presupuesto!C111</f>
        <v>Sum. e Inst. de Tuberia PVC Sanitario</v>
      </c>
      <c r="C111" s="19"/>
      <c r="D111" s="20"/>
      <c r="E111" s="20"/>
      <c r="F111" s="21"/>
      <c r="G111" s="22"/>
      <c r="H111" s="23"/>
      <c r="I111" s="24"/>
      <c r="J111" s="25"/>
      <c r="K111" s="26"/>
      <c r="L111" s="28"/>
    </row>
    <row r="112" ht="15" customHeight="1">
      <c r="A112" s="29" t="e">
        <f>fism!#REF!</f>
        <v>#REF!</v>
      </c>
      <c r="B112" s="398" t="e">
        <f>fism!#REF!</f>
        <v>#REF!</v>
      </c>
      <c r="C112" s="19" t="e">
        <f>fism!#REF!</f>
        <v>#REF!</v>
      </c>
      <c r="D112" s="20"/>
      <c r="E112" s="20"/>
      <c r="F112" s="30" t="s">
        <v>105</v>
      </c>
      <c r="G112" s="22"/>
      <c r="H112" s="23"/>
      <c r="I112" s="24"/>
      <c r="J112" s="25"/>
      <c r="K112" s="179">
        <v>1800</v>
      </c>
      <c r="L112" s="28"/>
    </row>
    <row r="113" ht="15" customHeight="1">
      <c r="A113" s="29"/>
      <c r="B113" s="399"/>
      <c r="C113" s="19"/>
      <c r="D113" s="20"/>
      <c r="E113" s="20"/>
      <c r="F113" s="21"/>
      <c r="G113" s="22"/>
      <c r="H113" s="23"/>
      <c r="I113" s="24"/>
      <c r="J113" s="25"/>
      <c r="K113" s="26"/>
      <c r="L113" s="28"/>
    </row>
    <row r="114" ht="24.75" customHeight="1">
      <c r="A114" s="56"/>
      <c r="B114" s="399"/>
      <c r="C114" s="19"/>
      <c r="D114" s="20"/>
      <c r="E114" s="20"/>
      <c r="F114" s="21"/>
      <c r="G114" s="22"/>
      <c r="H114" s="23"/>
      <c r="I114" s="24"/>
      <c r="J114" s="25"/>
      <c r="K114" s="26"/>
      <c r="L114" s="28"/>
    </row>
    <row r="115" ht="15" customHeight="1">
      <c r="A115" s="29"/>
      <c r="B115" s="38"/>
      <c r="C115" s="19"/>
      <c r="D115" s="20"/>
      <c r="E115" s="20"/>
      <c r="F115" s="21"/>
      <c r="G115" s="22"/>
      <c r="H115" s="23"/>
      <c r="I115" s="24"/>
      <c r="J115" s="25"/>
      <c r="K115" s="26"/>
      <c r="L115" s="28"/>
    </row>
    <row r="116" ht="51" customHeight="1">
      <c r="A116" s="90" t="s">
        <v>108</v>
      </c>
      <c r="B116" s="163" t="s">
        <v>109</v>
      </c>
      <c r="C116" s="164" t="s">
        <v>110</v>
      </c>
      <c r="D116" s="20"/>
      <c r="E116" s="20"/>
      <c r="F116" s="21"/>
      <c r="G116" s="22"/>
      <c r="H116" s="23"/>
      <c r="I116" s="24"/>
      <c r="J116" s="25"/>
      <c r="K116" s="177">
        <v>0</v>
      </c>
      <c r="L116" s="28"/>
    </row>
    <row r="117" ht="15" customHeight="1">
      <c r="A117" s="73"/>
      <c r="B117" s="37"/>
      <c r="C117" s="19"/>
      <c r="D117" s="20"/>
      <c r="E117" s="20"/>
      <c r="F117" s="21"/>
      <c r="G117" s="22"/>
      <c r="H117" s="23"/>
      <c r="I117" s="24"/>
      <c r="J117" s="25"/>
      <c r="K117" s="26"/>
      <c r="L117" s="28"/>
    </row>
    <row r="118" ht="15" customHeight="1">
      <c r="A118" s="99" t="str">
        <f>+[4]Presupuesto!B133</f>
        <v>A1205</v>
      </c>
      <c r="B118" s="18" t="str">
        <f>+[4]Presupuesto!C133</f>
        <v>Pozos de Visita</v>
      </c>
      <c r="C118" s="19"/>
      <c r="D118" s="20"/>
      <c r="E118" s="20"/>
      <c r="F118" s="21"/>
      <c r="G118" s="22"/>
      <c r="H118" s="23"/>
      <c r="I118" s="24"/>
      <c r="J118" s="25"/>
      <c r="K118" s="26"/>
      <c r="L118" s="28"/>
    </row>
    <row r="119" ht="15" customHeight="1">
      <c r="A119" s="29" t="e">
        <f>fism!#REF!</f>
        <v>#REF!</v>
      </c>
      <c r="B119" s="412" t="e">
        <f>fism!#REF!</f>
        <v>#REF!</v>
      </c>
      <c r="C119" s="19" t="str">
        <f>+[4]Presupuesto!D134</f>
        <v>PZA</v>
      </c>
      <c r="D119" s="68"/>
      <c r="E119" s="100" t="s">
        <v>111</v>
      </c>
      <c r="F119" s="21"/>
      <c r="G119" s="22"/>
      <c r="H119" s="23"/>
      <c r="I119" s="24"/>
      <c r="J119" s="25"/>
      <c r="K119" s="177">
        <v>16</v>
      </c>
      <c r="L119" s="28"/>
    </row>
    <row r="120" ht="15" customHeight="1">
      <c r="A120" s="29"/>
      <c r="B120" s="413"/>
      <c r="C120" s="19"/>
      <c r="D120" s="20"/>
      <c r="E120" s="20"/>
      <c r="F120" s="21"/>
      <c r="G120" s="22"/>
      <c r="H120" s="23"/>
      <c r="I120" s="24"/>
      <c r="J120" s="25"/>
      <c r="K120" s="26"/>
      <c r="L120" s="28"/>
    </row>
    <row r="121" ht="15" customHeight="1">
      <c r="A121" s="29"/>
      <c r="B121" s="413"/>
      <c r="C121" s="19"/>
      <c r="D121" s="20"/>
      <c r="E121" s="20"/>
      <c r="F121" s="21"/>
      <c r="G121" s="22"/>
      <c r="H121" s="23"/>
      <c r="I121" s="24"/>
      <c r="J121" s="25"/>
      <c r="K121" s="26"/>
      <c r="L121" s="28"/>
    </row>
    <row r="122" ht="15" customHeight="1">
      <c r="A122" s="29"/>
      <c r="B122" s="413"/>
      <c r="C122" s="19"/>
      <c r="D122" s="20"/>
      <c r="E122" s="20"/>
      <c r="F122" s="21"/>
      <c r="G122" s="22"/>
      <c r="H122" s="23"/>
      <c r="I122" s="24"/>
      <c r="J122" s="25"/>
      <c r="K122" s="26"/>
      <c r="L122" s="28"/>
    </row>
    <row r="123" ht="15" customHeight="1">
      <c r="A123" s="29"/>
      <c r="B123" s="413"/>
      <c r="C123" s="19"/>
      <c r="D123" s="20"/>
      <c r="E123" s="20"/>
      <c r="F123" s="21"/>
      <c r="G123" s="22"/>
      <c r="H123" s="23"/>
      <c r="I123" s="24"/>
      <c r="J123" s="25"/>
      <c r="K123" s="26"/>
      <c r="L123" s="28"/>
    </row>
    <row r="124" ht="15" customHeight="1">
      <c r="A124" s="56"/>
      <c r="B124" s="413"/>
      <c r="C124" s="57"/>
      <c r="D124" s="61"/>
      <c r="E124" s="61"/>
      <c r="F124" s="62"/>
      <c r="G124" s="63"/>
      <c r="H124" s="23"/>
      <c r="I124" s="64"/>
      <c r="J124" s="65"/>
      <c r="K124" s="66"/>
      <c r="L124" s="69"/>
    </row>
    <row r="125" ht="15" customHeight="1">
      <c r="A125" s="29"/>
      <c r="B125" s="413"/>
      <c r="C125" s="19"/>
      <c r="D125" s="20"/>
      <c r="E125" s="21"/>
      <c r="F125" s="22"/>
      <c r="G125" s="23"/>
      <c r="H125" s="24"/>
      <c r="I125" s="25"/>
      <c r="J125" s="26"/>
      <c r="K125" s="27"/>
      <c r="L125" s="28"/>
    </row>
    <row r="126" ht="15" customHeight="1">
      <c r="A126" s="29"/>
      <c r="B126" s="413"/>
      <c r="C126" s="19"/>
      <c r="D126" s="20"/>
      <c r="E126" s="21"/>
      <c r="F126" s="22"/>
      <c r="G126" s="23"/>
      <c r="H126" s="24"/>
      <c r="I126" s="25"/>
      <c r="J126" s="26"/>
      <c r="K126" s="27"/>
      <c r="L126" s="28"/>
    </row>
    <row r="127" ht="15" customHeight="1">
      <c r="A127" s="29"/>
      <c r="B127" s="413"/>
      <c r="C127" s="19"/>
      <c r="D127" s="20"/>
      <c r="E127" s="21"/>
      <c r="F127" s="22"/>
      <c r="G127" s="23"/>
      <c r="H127" s="24"/>
      <c r="I127" s="25"/>
      <c r="J127" s="26"/>
      <c r="K127" s="27"/>
      <c r="L127" s="28"/>
    </row>
    <row r="128" ht="15" customHeight="1">
      <c r="A128" s="29"/>
      <c r="B128" s="413"/>
      <c r="C128" s="19"/>
      <c r="D128" s="20"/>
      <c r="E128" s="21"/>
      <c r="F128" s="22"/>
      <c r="G128" s="23"/>
      <c r="H128" s="24"/>
      <c r="I128" s="25"/>
      <c r="J128" s="26"/>
      <c r="K128" s="27"/>
      <c r="L128" s="28"/>
    </row>
    <row r="129" ht="15" customHeight="1">
      <c r="A129" s="29"/>
      <c r="B129" s="413"/>
      <c r="C129" s="19"/>
      <c r="D129" s="20"/>
      <c r="E129" s="21"/>
      <c r="F129" s="22"/>
      <c r="G129" s="23"/>
      <c r="H129" s="24"/>
      <c r="I129" s="25"/>
      <c r="J129" s="26"/>
      <c r="K129" s="27"/>
      <c r="L129" s="28"/>
    </row>
    <row r="130" ht="15" customHeight="1">
      <c r="A130" s="29"/>
      <c r="B130" s="413"/>
      <c r="C130" s="19"/>
      <c r="D130" s="20"/>
      <c r="E130" s="21"/>
      <c r="F130" s="22"/>
      <c r="G130" s="23"/>
      <c r="H130" s="24"/>
      <c r="I130" s="25"/>
      <c r="J130" s="26"/>
      <c r="K130" s="27"/>
      <c r="L130" s="28"/>
    </row>
    <row r="131" ht="15" customHeight="1">
      <c r="A131" s="29"/>
      <c r="B131" s="414"/>
      <c r="C131" s="19"/>
      <c r="D131" s="20"/>
      <c r="E131" s="21"/>
      <c r="F131" s="22"/>
      <c r="G131" s="35"/>
      <c r="H131" s="24"/>
      <c r="I131" s="25"/>
      <c r="J131" s="26"/>
      <c r="K131" s="27"/>
      <c r="L131" s="28"/>
    </row>
    <row r="132">
      <c r="A132" s="39"/>
      <c r="B132" s="40"/>
      <c r="C132" s="41"/>
      <c r="D132" s="42"/>
      <c r="E132" s="43"/>
      <c r="F132" s="44"/>
      <c r="G132" s="45"/>
      <c r="H132" s="46"/>
      <c r="I132" s="46"/>
      <c r="J132" s="42"/>
      <c r="K132" s="47"/>
      <c r="L132" s="48"/>
    </row>
    <row r="133" ht="15" customHeight="1">
      <c r="A133" s="29" t="e">
        <f>fism!#REF!</f>
        <v>#REF!</v>
      </c>
      <c r="B133" s="412" t="e">
        <f>fism!#REF!</f>
        <v>#REF!</v>
      </c>
      <c r="C133" s="19" t="s">
        <v>110</v>
      </c>
      <c r="D133" s="68"/>
      <c r="E133" s="68"/>
      <c r="F133" s="21"/>
      <c r="G133" s="22"/>
      <c r="H133" s="23"/>
      <c r="I133" s="24"/>
      <c r="J133" s="25"/>
      <c r="K133" s="177">
        <v>3</v>
      </c>
      <c r="L133" s="28"/>
    </row>
    <row r="134" ht="15" customHeight="1">
      <c r="A134" s="29"/>
      <c r="B134" s="413"/>
      <c r="C134" s="19"/>
      <c r="D134" s="20"/>
      <c r="E134" s="20"/>
      <c r="F134" s="21"/>
      <c r="G134" s="22"/>
      <c r="H134" s="23"/>
      <c r="I134" s="24"/>
      <c r="J134" s="25"/>
      <c r="K134" s="26"/>
      <c r="L134" s="28"/>
    </row>
    <row r="135" ht="15" customHeight="1">
      <c r="A135" s="29"/>
      <c r="B135" s="413"/>
      <c r="C135" s="19"/>
      <c r="D135" s="20"/>
      <c r="E135" s="20"/>
      <c r="F135" s="21"/>
      <c r="G135" s="22"/>
      <c r="H135" s="23"/>
      <c r="I135" s="24"/>
      <c r="J135" s="25"/>
      <c r="K135" s="26"/>
      <c r="L135" s="28"/>
    </row>
    <row r="136" ht="15" customHeight="1">
      <c r="A136" s="29"/>
      <c r="B136" s="413"/>
      <c r="C136" s="19"/>
      <c r="D136" s="20"/>
      <c r="E136" s="20"/>
      <c r="F136" s="21"/>
      <c r="G136" s="22"/>
      <c r="H136" s="23"/>
      <c r="I136" s="24"/>
      <c r="J136" s="25"/>
      <c r="K136" s="26"/>
      <c r="L136" s="28"/>
    </row>
    <row r="137" ht="15" customHeight="1">
      <c r="A137" s="29"/>
      <c r="B137" s="413"/>
      <c r="C137" s="19"/>
      <c r="D137" s="20"/>
      <c r="E137" s="20"/>
      <c r="F137" s="21"/>
      <c r="G137" s="22"/>
      <c r="H137" s="23"/>
      <c r="I137" s="24"/>
      <c r="J137" s="25"/>
      <c r="K137" s="26"/>
      <c r="L137" s="28"/>
    </row>
    <row r="138" ht="15" customHeight="1">
      <c r="A138" s="29"/>
      <c r="B138" s="413"/>
      <c r="C138" s="19"/>
      <c r="D138" s="20"/>
      <c r="E138" s="20"/>
      <c r="F138" s="21"/>
      <c r="G138" s="22"/>
      <c r="H138" s="23"/>
      <c r="I138" s="24"/>
      <c r="J138" s="25"/>
      <c r="K138" s="26"/>
      <c r="L138" s="28"/>
    </row>
    <row r="139" ht="15" customHeight="1">
      <c r="A139" s="29"/>
      <c r="B139" s="413"/>
      <c r="C139" s="19"/>
      <c r="D139" s="20"/>
      <c r="E139" s="20"/>
      <c r="F139" s="21"/>
      <c r="G139" s="22"/>
      <c r="H139" s="23"/>
      <c r="I139" s="24"/>
      <c r="J139" s="25"/>
      <c r="K139" s="26"/>
      <c r="L139" s="28"/>
    </row>
    <row r="140" ht="15" customHeight="1">
      <c r="A140" s="29"/>
      <c r="B140" s="413"/>
      <c r="C140" s="19"/>
      <c r="D140" s="20"/>
      <c r="E140" s="20"/>
      <c r="F140" s="21"/>
      <c r="G140" s="22"/>
      <c r="H140" s="23"/>
      <c r="I140" s="24"/>
      <c r="J140" s="25"/>
      <c r="K140" s="26"/>
      <c r="L140" s="28"/>
    </row>
    <row r="141" ht="15" customHeight="1">
      <c r="A141" s="29"/>
      <c r="B141" s="413"/>
      <c r="C141" s="19"/>
      <c r="D141" s="20"/>
      <c r="E141" s="20"/>
      <c r="F141" s="21"/>
      <c r="G141" s="22"/>
      <c r="H141" s="23"/>
      <c r="I141" s="24"/>
      <c r="J141" s="25"/>
      <c r="K141" s="26"/>
      <c r="L141" s="28"/>
    </row>
    <row r="142" ht="15" customHeight="1">
      <c r="A142" s="29"/>
      <c r="B142" s="413"/>
      <c r="C142" s="19"/>
      <c r="D142" s="20"/>
      <c r="E142" s="20"/>
      <c r="F142" s="21"/>
      <c r="G142" s="22"/>
      <c r="H142" s="23"/>
      <c r="I142" s="24"/>
      <c r="J142" s="25"/>
      <c r="K142" s="26"/>
      <c r="L142" s="28"/>
    </row>
    <row r="143" ht="15" customHeight="1">
      <c r="A143" s="29"/>
      <c r="B143" s="413"/>
      <c r="C143" s="19"/>
      <c r="D143" s="20"/>
      <c r="E143" s="20"/>
      <c r="F143" s="21"/>
      <c r="G143" s="22"/>
      <c r="H143" s="23"/>
      <c r="I143" s="24"/>
      <c r="J143" s="25"/>
      <c r="K143" s="26"/>
      <c r="L143" s="28"/>
    </row>
    <row r="144" ht="15" customHeight="1">
      <c r="A144" s="29"/>
      <c r="B144" s="413"/>
      <c r="C144" s="19"/>
      <c r="D144" s="20"/>
      <c r="E144" s="20"/>
      <c r="F144" s="21"/>
      <c r="G144" s="22"/>
      <c r="H144" s="23"/>
      <c r="I144" s="24"/>
      <c r="J144" s="25"/>
      <c r="K144" s="26"/>
      <c r="L144" s="28"/>
    </row>
    <row r="145" ht="15" customHeight="1">
      <c r="A145" s="29"/>
      <c r="B145" s="414"/>
      <c r="C145" s="19"/>
      <c r="D145" s="20"/>
      <c r="E145" s="20"/>
      <c r="F145" s="21"/>
      <c r="G145" s="22"/>
      <c r="H145" s="23"/>
      <c r="I145" s="24"/>
      <c r="J145" s="25"/>
      <c r="K145" s="26"/>
      <c r="L145" s="28"/>
    </row>
    <row r="146" ht="15" customHeight="1">
      <c r="A146" s="29"/>
      <c r="B146" s="31"/>
      <c r="C146" s="19"/>
      <c r="D146" s="20"/>
      <c r="E146" s="20"/>
      <c r="F146" s="21"/>
      <c r="G146" s="22"/>
      <c r="H146" s="23"/>
      <c r="I146" s="24"/>
      <c r="J146" s="25"/>
      <c r="K146" s="26"/>
      <c r="L146" s="28"/>
    </row>
    <row r="147" ht="15" customHeight="1">
      <c r="A147" s="29" t="e">
        <f>fism!#REF!</f>
        <v>#REF!</v>
      </c>
      <c r="B147" s="412" t="e">
        <f>fism!#REF!</f>
        <v>#REF!</v>
      </c>
      <c r="C147" s="19" t="s">
        <v>110</v>
      </c>
      <c r="D147" s="68"/>
      <c r="E147" s="68"/>
      <c r="F147" s="21"/>
      <c r="G147" s="22"/>
      <c r="H147" s="23"/>
      <c r="I147" s="24"/>
      <c r="J147" s="25"/>
      <c r="K147" s="177">
        <v>2</v>
      </c>
      <c r="L147" s="28"/>
    </row>
    <row r="148" ht="15" customHeight="1">
      <c r="A148" s="29"/>
      <c r="B148" s="413"/>
      <c r="C148" s="19"/>
      <c r="D148" s="20"/>
      <c r="E148" s="20"/>
      <c r="F148" s="21"/>
      <c r="G148" s="22"/>
      <c r="H148" s="23"/>
      <c r="I148" s="24"/>
      <c r="J148" s="25"/>
      <c r="K148" s="26"/>
      <c r="L148" s="28"/>
    </row>
    <row r="149" ht="15" customHeight="1">
      <c r="A149" s="29"/>
      <c r="B149" s="413"/>
      <c r="C149" s="19"/>
      <c r="D149" s="20"/>
      <c r="E149" s="20"/>
      <c r="F149" s="21"/>
      <c r="G149" s="22"/>
      <c r="H149" s="23"/>
      <c r="I149" s="24"/>
      <c r="J149" s="25"/>
      <c r="K149" s="26"/>
      <c r="L149" s="28"/>
    </row>
    <row r="150" ht="15" customHeight="1">
      <c r="A150" s="29"/>
      <c r="B150" s="413"/>
      <c r="C150" s="19"/>
      <c r="D150" s="20"/>
      <c r="E150" s="20"/>
      <c r="F150" s="21"/>
      <c r="G150" s="22"/>
      <c r="H150" s="23"/>
      <c r="I150" s="24"/>
      <c r="J150" s="25"/>
      <c r="K150" s="26"/>
      <c r="L150" s="28"/>
    </row>
    <row r="151" ht="15" customHeight="1">
      <c r="A151" s="29"/>
      <c r="B151" s="413"/>
      <c r="C151" s="19"/>
      <c r="D151" s="20"/>
      <c r="E151" s="20"/>
      <c r="F151" s="21"/>
      <c r="G151" s="22"/>
      <c r="H151" s="23"/>
      <c r="I151" s="24"/>
      <c r="J151" s="25"/>
      <c r="K151" s="26"/>
      <c r="L151" s="28"/>
    </row>
    <row r="152" ht="15" customHeight="1">
      <c r="A152" s="29"/>
      <c r="B152" s="413"/>
      <c r="C152" s="19"/>
      <c r="D152" s="20"/>
      <c r="E152" s="20"/>
      <c r="F152" s="21"/>
      <c r="G152" s="22"/>
      <c r="H152" s="23"/>
      <c r="I152" s="24"/>
      <c r="J152" s="25"/>
      <c r="K152" s="26"/>
      <c r="L152" s="28"/>
    </row>
    <row r="153" ht="15" customHeight="1">
      <c r="A153" s="29"/>
      <c r="B153" s="413"/>
      <c r="C153" s="19"/>
      <c r="D153" s="20"/>
      <c r="E153" s="20"/>
      <c r="F153" s="21"/>
      <c r="G153" s="22"/>
      <c r="H153" s="23"/>
      <c r="I153" s="24"/>
      <c r="J153" s="25"/>
      <c r="K153" s="26"/>
      <c r="L153" s="28"/>
    </row>
    <row r="154" ht="15" customHeight="1">
      <c r="A154" s="29"/>
      <c r="B154" s="413"/>
      <c r="C154" s="19"/>
      <c r="D154" s="20"/>
      <c r="E154" s="20"/>
      <c r="F154" s="21"/>
      <c r="G154" s="22"/>
      <c r="H154" s="23"/>
      <c r="I154" s="24"/>
      <c r="J154" s="25"/>
      <c r="K154" s="26"/>
      <c r="L154" s="28"/>
    </row>
    <row r="155" ht="15" customHeight="1">
      <c r="A155" s="29"/>
      <c r="B155" s="413"/>
      <c r="C155" s="19"/>
      <c r="D155" s="20"/>
      <c r="E155" s="20"/>
      <c r="F155" s="21"/>
      <c r="G155" s="22"/>
      <c r="H155" s="23"/>
      <c r="I155" s="24"/>
      <c r="J155" s="25"/>
      <c r="K155" s="26"/>
      <c r="L155" s="28"/>
    </row>
    <row r="156" ht="15" customHeight="1">
      <c r="A156" s="29"/>
      <c r="B156" s="413"/>
      <c r="C156" s="19"/>
      <c r="D156" s="20"/>
      <c r="E156" s="21"/>
      <c r="F156" s="22"/>
      <c r="G156" s="23"/>
      <c r="H156" s="24"/>
      <c r="I156" s="25"/>
      <c r="J156" s="26"/>
      <c r="K156" s="27"/>
      <c r="L156" s="28"/>
    </row>
    <row r="157" ht="15" customHeight="1">
      <c r="A157" s="29"/>
      <c r="B157" s="413"/>
      <c r="C157" s="19"/>
      <c r="D157" s="20"/>
      <c r="E157" s="21"/>
      <c r="F157" s="22"/>
      <c r="G157" s="23"/>
      <c r="H157" s="24"/>
      <c r="I157" s="25"/>
      <c r="J157" s="26"/>
      <c r="K157" s="27"/>
      <c r="L157" s="28"/>
    </row>
    <row r="158" ht="15" customHeight="1">
      <c r="A158" s="29"/>
      <c r="B158" s="413"/>
      <c r="C158" s="19"/>
      <c r="D158" s="20"/>
      <c r="E158" s="21"/>
      <c r="F158" s="22"/>
      <c r="G158" s="23"/>
      <c r="H158" s="24"/>
      <c r="I158" s="25"/>
      <c r="J158" s="26"/>
      <c r="K158" s="27"/>
      <c r="L158" s="28"/>
    </row>
    <row r="159" ht="15" customHeight="1">
      <c r="A159" s="29"/>
      <c r="B159" s="414"/>
      <c r="C159" s="19"/>
      <c r="D159" s="20"/>
      <c r="E159" s="21"/>
      <c r="F159" s="22"/>
      <c r="G159" s="23"/>
      <c r="H159" s="24"/>
      <c r="I159" s="25"/>
      <c r="J159" s="26"/>
      <c r="K159" s="27"/>
      <c r="L159" s="28"/>
    </row>
    <row r="160" ht="15" customHeight="1">
      <c r="A160" s="29"/>
      <c r="B160" s="135"/>
      <c r="C160" s="19"/>
      <c r="D160" s="20"/>
      <c r="E160" s="21"/>
      <c r="F160" s="22"/>
      <c r="G160" s="23"/>
      <c r="H160" s="24"/>
      <c r="I160" s="25"/>
      <c r="J160" s="26"/>
      <c r="K160" s="27"/>
      <c r="L160" s="28"/>
    </row>
    <row r="161" ht="15" customHeight="1">
      <c r="A161" s="29" t="e">
        <f>fism!#REF!</f>
        <v>#REF!</v>
      </c>
      <c r="B161" s="398" t="e">
        <f>fism!#REF!</f>
        <v>#REF!</v>
      </c>
      <c r="C161" s="19" t="s">
        <v>110</v>
      </c>
      <c r="D161" s="68"/>
      <c r="E161" s="68"/>
      <c r="F161" s="21"/>
      <c r="G161" s="22"/>
      <c r="H161" s="23"/>
      <c r="I161" s="24"/>
      <c r="J161" s="25"/>
      <c r="K161" s="177">
        <v>1</v>
      </c>
      <c r="L161" s="28"/>
    </row>
    <row r="162" ht="15" customHeight="1">
      <c r="A162" s="29"/>
      <c r="B162" s="399"/>
      <c r="C162" s="19"/>
      <c r="D162" s="20"/>
      <c r="E162" s="21"/>
      <c r="F162" s="22"/>
      <c r="G162" s="23"/>
      <c r="H162" s="24"/>
      <c r="I162" s="25"/>
      <c r="J162" s="26"/>
      <c r="K162" s="27"/>
      <c r="L162" s="28"/>
    </row>
    <row r="163" ht="15" customHeight="1">
      <c r="A163" s="29"/>
      <c r="B163" s="399"/>
      <c r="C163" s="19"/>
      <c r="D163" s="20"/>
      <c r="E163" s="21"/>
      <c r="F163" s="22"/>
      <c r="G163" s="23"/>
      <c r="H163" s="24"/>
      <c r="I163" s="25"/>
      <c r="J163" s="26"/>
      <c r="K163" s="27"/>
      <c r="L163" s="28"/>
    </row>
    <row r="164" ht="15" customHeight="1">
      <c r="A164" s="29"/>
      <c r="B164" s="399"/>
      <c r="C164" s="19"/>
      <c r="D164" s="20"/>
      <c r="E164" s="21"/>
      <c r="F164" s="22"/>
      <c r="G164" s="23"/>
      <c r="H164" s="24"/>
      <c r="I164" s="25"/>
      <c r="J164" s="26"/>
      <c r="K164" s="27"/>
      <c r="L164" s="28"/>
    </row>
    <row r="165" ht="15" customHeight="1">
      <c r="A165" s="29"/>
      <c r="B165" s="399"/>
      <c r="C165" s="19"/>
      <c r="D165" s="20"/>
      <c r="E165" s="21"/>
      <c r="F165" s="22"/>
      <c r="G165" s="23"/>
      <c r="H165" s="24"/>
      <c r="I165" s="25"/>
      <c r="J165" s="26"/>
      <c r="K165" s="27"/>
      <c r="L165" s="28"/>
    </row>
    <row r="166" ht="15" customHeight="1">
      <c r="A166" s="29"/>
      <c r="B166" s="399"/>
      <c r="C166" s="19"/>
      <c r="D166" s="20"/>
      <c r="E166" s="21"/>
      <c r="F166" s="22"/>
      <c r="G166" s="23"/>
      <c r="H166" s="24"/>
      <c r="I166" s="25"/>
      <c r="J166" s="26"/>
      <c r="K166" s="27"/>
      <c r="L166" s="28"/>
    </row>
    <row r="167" ht="15" customHeight="1">
      <c r="A167" s="29"/>
      <c r="B167" s="399"/>
      <c r="C167" s="19"/>
      <c r="D167" s="20"/>
      <c r="E167" s="21"/>
      <c r="F167" s="22"/>
      <c r="G167" s="23"/>
      <c r="H167" s="24"/>
      <c r="I167" s="25"/>
      <c r="J167" s="26"/>
      <c r="K167" s="27"/>
      <c r="L167" s="28"/>
    </row>
    <row r="168" ht="15" customHeight="1">
      <c r="A168" s="29"/>
      <c r="B168" s="399"/>
      <c r="C168" s="19"/>
      <c r="D168" s="20"/>
      <c r="E168" s="21"/>
      <c r="F168" s="22"/>
      <c r="G168" s="23"/>
      <c r="H168" s="24"/>
      <c r="I168" s="25"/>
      <c r="J168" s="26"/>
      <c r="K168" s="27"/>
      <c r="L168" s="28"/>
    </row>
    <row r="169" ht="15" customHeight="1">
      <c r="A169" s="29"/>
      <c r="B169" s="399"/>
      <c r="C169" s="19"/>
      <c r="D169" s="20"/>
      <c r="E169" s="21"/>
      <c r="F169" s="22"/>
      <c r="G169" s="23"/>
      <c r="H169" s="24"/>
      <c r="I169" s="25"/>
      <c r="J169" s="26"/>
      <c r="K169" s="27"/>
      <c r="L169" s="28"/>
    </row>
    <row r="170" ht="15" customHeight="1">
      <c r="A170" s="29"/>
      <c r="B170" s="399"/>
      <c r="C170" s="19"/>
      <c r="D170" s="20"/>
      <c r="E170" s="21"/>
      <c r="F170" s="22"/>
      <c r="G170" s="23"/>
      <c r="H170" s="24"/>
      <c r="I170" s="25"/>
      <c r="J170" s="26"/>
      <c r="K170" s="27"/>
      <c r="L170" s="28"/>
    </row>
    <row r="171" ht="15" customHeight="1">
      <c r="A171" s="29"/>
      <c r="B171" s="399"/>
      <c r="C171" s="19"/>
      <c r="D171" s="20"/>
      <c r="E171" s="21"/>
      <c r="F171" s="22"/>
      <c r="G171" s="23"/>
      <c r="H171" s="24"/>
      <c r="I171" s="25"/>
      <c r="J171" s="26"/>
      <c r="K171" s="27"/>
      <c r="L171" s="28"/>
    </row>
    <row r="172" ht="15" customHeight="1">
      <c r="A172" s="29"/>
      <c r="B172" s="399"/>
      <c r="C172" s="19"/>
      <c r="D172" s="20"/>
      <c r="E172" s="21"/>
      <c r="F172" s="22"/>
      <c r="G172" s="23"/>
      <c r="H172" s="24"/>
      <c r="I172" s="25"/>
      <c r="J172" s="26"/>
      <c r="K172" s="27"/>
      <c r="L172" s="28"/>
    </row>
    <row r="173" ht="15" customHeight="1">
      <c r="A173" s="29"/>
      <c r="B173" s="402"/>
      <c r="C173" s="19"/>
      <c r="D173" s="20"/>
      <c r="E173" s="21"/>
      <c r="F173" s="22"/>
      <c r="G173" s="23"/>
      <c r="H173" s="24"/>
      <c r="I173" s="25"/>
      <c r="J173" s="26"/>
      <c r="K173" s="27"/>
      <c r="L173" s="28"/>
    </row>
    <row r="174" ht="15" customHeight="1">
      <c r="A174" s="29"/>
      <c r="B174" s="67"/>
      <c r="C174" s="19"/>
      <c r="D174" s="20"/>
      <c r="E174" s="21"/>
      <c r="F174" s="22"/>
      <c r="G174" s="23"/>
      <c r="H174" s="24"/>
      <c r="I174" s="25"/>
      <c r="J174" s="26"/>
      <c r="K174" s="27"/>
      <c r="L174" s="28"/>
    </row>
    <row r="175" ht="15" customHeight="1">
      <c r="A175" s="29"/>
      <c r="B175" s="67"/>
      <c r="C175" s="19"/>
      <c r="D175" s="20"/>
      <c r="E175" s="20"/>
      <c r="F175" s="21"/>
      <c r="G175" s="71"/>
      <c r="H175" s="35"/>
      <c r="I175" s="24"/>
      <c r="J175" s="25"/>
      <c r="K175" s="26"/>
      <c r="L175" s="28"/>
    </row>
    <row r="176" ht="15" customHeight="1">
      <c r="A176" s="150" t="e">
        <f>fism!#REF!</f>
        <v>#REF!</v>
      </c>
      <c r="B176" s="425" t="e">
        <f>fism!#REF!</f>
        <v>#REF!</v>
      </c>
      <c r="C176" s="19" t="s">
        <v>110</v>
      </c>
      <c r="D176" s="68"/>
      <c r="E176" s="68"/>
      <c r="F176" s="21"/>
      <c r="G176" s="22"/>
      <c r="H176" s="23"/>
      <c r="I176" s="24"/>
      <c r="J176" s="25"/>
      <c r="K176" s="177">
        <v>3</v>
      </c>
      <c r="L176" s="159"/>
    </row>
    <row r="177" ht="15" customHeight="1">
      <c r="A177" s="150"/>
      <c r="B177" s="425"/>
      <c r="C177" s="152"/>
      <c r="D177" s="153"/>
      <c r="E177" s="154"/>
      <c r="F177" s="155"/>
      <c r="G177" s="156"/>
      <c r="H177" s="157"/>
      <c r="I177" s="157"/>
      <c r="J177" s="153"/>
      <c r="K177" s="158"/>
      <c r="L177" s="159"/>
    </row>
    <row r="178" ht="15" customHeight="1">
      <c r="A178" s="150"/>
      <c r="B178" s="425"/>
      <c r="C178" s="152"/>
      <c r="D178" s="153"/>
      <c r="E178" s="154"/>
      <c r="F178" s="155"/>
      <c r="G178" s="156"/>
      <c r="H178" s="157"/>
      <c r="I178" s="157"/>
      <c r="J178" s="153"/>
      <c r="K178" s="158"/>
      <c r="L178" s="159"/>
    </row>
    <row r="179" ht="15" customHeight="1">
      <c r="A179" s="150"/>
      <c r="B179" s="425"/>
      <c r="C179" s="152"/>
      <c r="D179" s="153"/>
      <c r="E179" s="154"/>
      <c r="F179" s="155"/>
      <c r="G179" s="156"/>
      <c r="H179" s="157"/>
      <c r="I179" s="157"/>
      <c r="J179" s="153"/>
      <c r="K179" s="158"/>
      <c r="L179" s="159"/>
    </row>
    <row r="180" ht="15" customHeight="1">
      <c r="A180" s="150"/>
      <c r="B180" s="425"/>
      <c r="C180" s="152"/>
      <c r="D180" s="153"/>
      <c r="E180" s="154"/>
      <c r="F180" s="155"/>
      <c r="G180" s="156"/>
      <c r="H180" s="157"/>
      <c r="I180" s="157"/>
      <c r="J180" s="153"/>
      <c r="K180" s="158"/>
      <c r="L180" s="159"/>
    </row>
    <row r="181" ht="15" customHeight="1">
      <c r="A181" s="150"/>
      <c r="B181" s="425"/>
      <c r="C181" s="152"/>
      <c r="D181" s="153"/>
      <c r="E181" s="154"/>
      <c r="F181" s="155"/>
      <c r="G181" s="156"/>
      <c r="H181" s="157"/>
      <c r="I181" s="157"/>
      <c r="J181" s="153"/>
      <c r="K181" s="158"/>
      <c r="L181" s="159"/>
    </row>
    <row r="182" ht="15" customHeight="1">
      <c r="A182" s="150"/>
      <c r="B182" s="425"/>
      <c r="C182" s="152"/>
      <c r="D182" s="153"/>
      <c r="E182" s="154"/>
      <c r="F182" s="155"/>
      <c r="G182" s="156"/>
      <c r="H182" s="157"/>
      <c r="I182" s="157"/>
      <c r="J182" s="153"/>
      <c r="K182" s="158"/>
      <c r="L182" s="159"/>
    </row>
    <row r="183" ht="15" customHeight="1">
      <c r="A183" s="150"/>
      <c r="B183" s="425"/>
      <c r="C183" s="152"/>
      <c r="D183" s="153"/>
      <c r="E183" s="154"/>
      <c r="F183" s="155"/>
      <c r="G183" s="156"/>
      <c r="H183" s="157"/>
      <c r="I183" s="157"/>
      <c r="J183" s="153"/>
      <c r="K183" s="158"/>
      <c r="L183" s="159"/>
    </row>
    <row r="184" ht="15" customHeight="1">
      <c r="A184" s="150"/>
      <c r="B184" s="425"/>
      <c r="C184" s="152"/>
      <c r="D184" s="153"/>
      <c r="E184" s="154"/>
      <c r="F184" s="155"/>
      <c r="G184" s="156"/>
      <c r="H184" s="157"/>
      <c r="I184" s="157"/>
      <c r="J184" s="153"/>
      <c r="K184" s="158"/>
      <c r="L184" s="159"/>
    </row>
    <row r="185" ht="15" customHeight="1">
      <c r="A185" s="150"/>
      <c r="B185" s="425"/>
      <c r="C185" s="152"/>
      <c r="D185" s="153"/>
      <c r="E185" s="154"/>
      <c r="F185" s="155"/>
      <c r="G185" s="156"/>
      <c r="H185" s="157"/>
      <c r="I185" s="157"/>
      <c r="J185" s="153"/>
      <c r="K185" s="158"/>
      <c r="L185" s="159"/>
    </row>
    <row r="186" ht="15" customHeight="1">
      <c r="A186" s="150"/>
      <c r="B186" s="425"/>
      <c r="C186" s="152"/>
      <c r="D186" s="153"/>
      <c r="E186" s="154"/>
      <c r="F186" s="155"/>
      <c r="G186" s="156"/>
      <c r="H186" s="157"/>
      <c r="I186" s="157"/>
      <c r="J186" s="153"/>
      <c r="K186" s="158"/>
      <c r="L186" s="159"/>
    </row>
    <row r="187" ht="15" customHeight="1">
      <c r="A187" s="150"/>
      <c r="B187" s="425"/>
      <c r="C187" s="152"/>
      <c r="D187" s="153"/>
      <c r="E187" s="154"/>
      <c r="F187" s="155"/>
      <c r="G187" s="156"/>
      <c r="H187" s="157"/>
      <c r="I187" s="157"/>
      <c r="J187" s="153"/>
      <c r="K187" s="158"/>
      <c r="L187" s="159"/>
    </row>
    <row r="188" ht="15" customHeight="1">
      <c r="A188" s="150"/>
      <c r="B188" s="425"/>
      <c r="C188" s="152"/>
      <c r="D188" s="153"/>
      <c r="E188" s="154"/>
      <c r="F188" s="155"/>
      <c r="G188" s="156"/>
      <c r="H188" s="157"/>
      <c r="I188" s="157"/>
      <c r="J188" s="153"/>
      <c r="K188" s="158"/>
      <c r="L188" s="159"/>
    </row>
    <row r="189" ht="15" customHeight="1">
      <c r="A189" s="150"/>
      <c r="B189" s="151"/>
      <c r="C189" s="152"/>
      <c r="D189" s="153"/>
      <c r="E189" s="154"/>
      <c r="F189" s="155"/>
      <c r="G189" s="156"/>
      <c r="H189" s="157"/>
      <c r="I189" s="157"/>
      <c r="J189" s="153"/>
      <c r="K189" s="158"/>
      <c r="L189" s="159"/>
    </row>
    <row r="190" ht="15" customHeight="1">
      <c r="A190" s="29" t="e">
        <f>fism!#REF!</f>
        <v>#REF!</v>
      </c>
      <c r="B190" s="409" t="s">
        <v>112</v>
      </c>
      <c r="C190" s="19" t="e">
        <f>fism!#REF!</f>
        <v>#REF!</v>
      </c>
      <c r="D190" s="68"/>
      <c r="E190" s="68"/>
      <c r="F190" s="21"/>
      <c r="G190" s="22"/>
      <c r="H190" s="23"/>
      <c r="I190" s="24"/>
      <c r="J190" s="25"/>
      <c r="K190" s="177">
        <v>3</v>
      </c>
      <c r="L190" s="28"/>
    </row>
    <row r="191" ht="15" customHeight="1">
      <c r="A191" s="29"/>
      <c r="B191" s="410"/>
      <c r="C191" s="19"/>
      <c r="D191" s="20"/>
      <c r="E191" s="20"/>
      <c r="F191" s="21"/>
      <c r="G191" s="22"/>
      <c r="H191" s="23"/>
      <c r="I191" s="24"/>
      <c r="J191" s="25"/>
      <c r="K191" s="26"/>
      <c r="L191" s="28"/>
    </row>
    <row r="192" ht="15" customHeight="1">
      <c r="A192" s="29"/>
      <c r="B192" s="38"/>
      <c r="C192" s="19"/>
      <c r="D192" s="20"/>
      <c r="E192" s="20"/>
      <c r="F192" s="21"/>
      <c r="G192" s="22"/>
      <c r="H192" s="23"/>
      <c r="I192" s="24"/>
      <c r="J192" s="25"/>
      <c r="K192" s="26"/>
      <c r="L192" s="28"/>
    </row>
    <row r="193" ht="15" customHeight="1">
      <c r="A193" s="17" t="e">
        <f>fism!#REF!</f>
        <v>#REF!</v>
      </c>
      <c r="B193" s="101" t="s">
        <v>113</v>
      </c>
      <c r="C193" s="19"/>
      <c r="D193" s="20"/>
      <c r="E193" s="20"/>
      <c r="F193" s="21"/>
      <c r="G193" s="22"/>
      <c r="H193" s="23"/>
      <c r="I193" s="24"/>
      <c r="J193" s="25"/>
      <c r="K193" s="26"/>
      <c r="L193" s="28"/>
    </row>
    <row r="194" ht="15" customHeight="1">
      <c r="A194" s="29">
        <f>+[4]Presupuesto!B273</f>
        <v>1123001581</v>
      </c>
      <c r="B194" s="403" t="str">
        <f>+[4]Presupuesto!C273</f>
        <v>SUMINISTRO Y COLOCACION DE BROCALES PARA POZO DE VISITA PESADO CIEGO DE 60 CMS. DIAM. DE 165 KG INCLUYE TODO LO NECESARIO PARA SU CORRECTA EJECUCION.</v>
      </c>
      <c r="C194" s="19" t="str">
        <f>+[4]Presupuesto!D273</f>
        <v>PZA</v>
      </c>
      <c r="D194" s="20"/>
      <c r="E194" s="20"/>
      <c r="F194" s="21"/>
      <c r="G194" s="22"/>
      <c r="H194" s="23"/>
      <c r="I194" s="24"/>
      <c r="J194" s="25"/>
      <c r="K194" s="177">
        <v>20</v>
      </c>
      <c r="L194" s="28"/>
    </row>
    <row r="195" ht="15" customHeight="1">
      <c r="A195" s="29"/>
      <c r="B195" s="404"/>
      <c r="C195" s="19"/>
      <c r="D195" s="20"/>
      <c r="E195" s="21"/>
      <c r="F195" s="22"/>
      <c r="G195" s="23"/>
      <c r="H195" s="24"/>
      <c r="I195" s="25"/>
      <c r="J195" s="26"/>
      <c r="K195" s="27"/>
      <c r="L195" s="28"/>
    </row>
    <row r="196" ht="15" customHeight="1">
      <c r="A196" s="29"/>
      <c r="B196" s="411"/>
      <c r="C196" s="19"/>
      <c r="D196" s="20"/>
      <c r="E196" s="21"/>
      <c r="F196" s="22"/>
      <c r="G196" s="23"/>
      <c r="H196" s="24"/>
      <c r="I196" s="25"/>
      <c r="J196" s="26"/>
      <c r="K196" s="27"/>
      <c r="L196" s="28"/>
    </row>
    <row r="197" ht="15" customHeight="1">
      <c r="A197" s="29"/>
      <c r="B197" s="67"/>
      <c r="C197" s="19"/>
      <c r="D197" s="20"/>
      <c r="E197" s="20"/>
      <c r="F197" s="21"/>
      <c r="G197" s="71"/>
      <c r="H197" s="35"/>
      <c r="I197" s="24"/>
      <c r="J197" s="25"/>
      <c r="K197" s="26"/>
      <c r="L197" s="28"/>
    </row>
    <row r="198" ht="15" customHeight="1">
      <c r="A198" s="99" t="e">
        <f>fism!#REF!</f>
        <v>#REF!</v>
      </c>
      <c r="B198" s="102" t="e">
        <f>fism!#REF!</f>
        <v>#REF!</v>
      </c>
      <c r="C198" s="19"/>
      <c r="D198" s="20"/>
      <c r="E198" s="20"/>
      <c r="F198" s="21"/>
      <c r="G198" s="71"/>
      <c r="H198" s="35"/>
      <c r="I198" s="24"/>
      <c r="J198" s="25"/>
      <c r="K198" s="26"/>
      <c r="L198" s="28"/>
    </row>
    <row r="199" ht="15" customHeight="1">
      <c r="A199" s="29" t="e">
        <f>fism!#REF!</f>
        <v>#REF!</v>
      </c>
      <c r="B199" s="398" t="e">
        <f>fism!#REF!</f>
        <v>#REF!</v>
      </c>
      <c r="C199" s="19" t="e">
        <f>fism!#REF!</f>
        <v>#REF!</v>
      </c>
      <c r="D199" s="20"/>
      <c r="E199" s="20"/>
      <c r="F199" s="21"/>
      <c r="G199" s="22"/>
      <c r="H199" s="23"/>
      <c r="I199" s="24"/>
      <c r="J199" s="25"/>
      <c r="K199" s="177">
        <v>1</v>
      </c>
      <c r="L199" s="28"/>
    </row>
    <row r="200" ht="15" customHeight="1">
      <c r="A200" s="29"/>
      <c r="B200" s="399"/>
      <c r="C200" s="19"/>
      <c r="D200" s="20"/>
      <c r="E200" s="20"/>
      <c r="F200" s="21"/>
      <c r="G200" s="71"/>
      <c r="H200" s="35"/>
      <c r="I200" s="24"/>
      <c r="J200" s="25"/>
      <c r="K200" s="26"/>
      <c r="L200" s="28"/>
    </row>
    <row r="201" ht="15" customHeight="1">
      <c r="A201" s="29"/>
      <c r="B201" s="399"/>
      <c r="C201" s="19"/>
      <c r="D201" s="20"/>
      <c r="E201" s="20"/>
      <c r="F201" s="21"/>
      <c r="G201" s="71"/>
      <c r="H201" s="35"/>
      <c r="I201" s="24"/>
      <c r="J201" s="25"/>
      <c r="K201" s="26"/>
      <c r="L201" s="28"/>
    </row>
    <row r="202" ht="15" customHeight="1">
      <c r="A202" s="29"/>
      <c r="B202" s="399"/>
      <c r="C202" s="19"/>
      <c r="D202" s="20"/>
      <c r="E202" s="20"/>
      <c r="F202" s="21"/>
      <c r="G202" s="71"/>
      <c r="H202" s="35"/>
      <c r="I202" s="24"/>
      <c r="J202" s="25"/>
      <c r="K202" s="26"/>
      <c r="L202" s="28"/>
    </row>
    <row r="203" ht="15" customHeight="1">
      <c r="A203" s="29"/>
      <c r="B203" s="399"/>
      <c r="C203" s="19"/>
      <c r="D203" s="20"/>
      <c r="E203" s="20"/>
      <c r="F203" s="21"/>
      <c r="G203" s="71"/>
      <c r="H203" s="35"/>
      <c r="I203" s="24"/>
      <c r="J203" s="25"/>
      <c r="K203" s="26"/>
      <c r="L203" s="28"/>
    </row>
    <row r="204" ht="15" customHeight="1">
      <c r="A204" s="29"/>
      <c r="B204" s="399"/>
      <c r="C204" s="19"/>
      <c r="D204" s="20"/>
      <c r="E204" s="20"/>
      <c r="F204" s="21"/>
      <c r="G204" s="71"/>
      <c r="H204" s="35"/>
      <c r="I204" s="24"/>
      <c r="J204" s="25"/>
      <c r="K204" s="26"/>
      <c r="L204" s="28"/>
    </row>
    <row r="205" ht="15" customHeight="1">
      <c r="A205" s="29"/>
      <c r="B205" s="402"/>
      <c r="C205" s="19"/>
      <c r="D205" s="20"/>
      <c r="E205" s="20"/>
      <c r="F205" s="21"/>
      <c r="G205" s="71"/>
      <c r="H205" s="35"/>
      <c r="I205" s="24"/>
      <c r="J205" s="25"/>
      <c r="K205" s="26"/>
      <c r="L205" s="28"/>
    </row>
    <row r="206" ht="15" customHeight="1">
      <c r="A206" s="29"/>
      <c r="B206" s="38"/>
      <c r="C206" s="19"/>
      <c r="D206" s="20"/>
      <c r="E206" s="20"/>
      <c r="F206" s="21"/>
      <c r="G206" s="22"/>
      <c r="H206" s="23"/>
      <c r="I206" s="24"/>
      <c r="J206" s="25"/>
      <c r="K206" s="26"/>
      <c r="L206" s="28"/>
    </row>
    <row r="207" ht="15" customHeight="1">
      <c r="A207" s="29"/>
      <c r="B207" s="67"/>
      <c r="C207" s="19"/>
      <c r="D207" s="20"/>
      <c r="E207" s="20"/>
      <c r="F207" s="21"/>
      <c r="G207" s="71"/>
      <c r="H207" s="35"/>
      <c r="I207" s="24"/>
      <c r="J207" s="25"/>
      <c r="K207" s="26"/>
      <c r="L207" s="28"/>
    </row>
    <row r="208" ht="15" customHeight="1">
      <c r="A208" s="29"/>
      <c r="B208" s="67"/>
      <c r="C208" s="19"/>
      <c r="D208" s="20"/>
      <c r="E208" s="20"/>
      <c r="F208" s="21"/>
      <c r="G208" s="71"/>
      <c r="H208" s="35"/>
      <c r="I208" s="24"/>
      <c r="J208" s="25"/>
      <c r="K208" s="26"/>
      <c r="L208" s="28"/>
    </row>
    <row r="209" ht="15" customHeight="1">
      <c r="A209" s="29"/>
      <c r="B209" s="67"/>
      <c r="C209" s="19"/>
      <c r="D209" s="20"/>
      <c r="E209" s="20"/>
      <c r="F209" s="21"/>
      <c r="G209" s="71"/>
      <c r="H209" s="35"/>
      <c r="I209" s="24"/>
      <c r="J209" s="25"/>
      <c r="K209" s="26"/>
      <c r="L209" s="28"/>
    </row>
    <row r="210" ht="15" customHeight="1">
      <c r="A210" s="29"/>
      <c r="B210" s="67"/>
      <c r="C210" s="19"/>
      <c r="D210" s="20"/>
      <c r="E210" s="20"/>
      <c r="F210" s="21"/>
      <c r="G210" s="71"/>
      <c r="H210" s="35"/>
      <c r="I210" s="24"/>
      <c r="J210" s="25"/>
      <c r="K210" s="26"/>
      <c r="L210" s="28"/>
    </row>
    <row r="211">
      <c r="A211" s="39"/>
      <c r="B211" s="40"/>
      <c r="C211" s="41"/>
      <c r="D211" s="42"/>
      <c r="E211" s="43"/>
      <c r="F211" s="44"/>
      <c r="G211" s="45"/>
      <c r="H211" s="46"/>
      <c r="I211" s="46"/>
      <c r="J211" s="42"/>
      <c r="K211" s="47"/>
      <c r="L211" s="48"/>
    </row>
    <row r="212">
      <c r="A212" s="54"/>
      <c r="B212" s="54"/>
      <c r="C212" s="8"/>
      <c r="D212" s="8"/>
      <c r="E212" s="8"/>
      <c r="F212" s="8"/>
      <c r="G212" s="8"/>
      <c r="H212" s="8"/>
      <c r="I212" s="8"/>
      <c r="J212" s="8"/>
      <c r="K212" s="72"/>
      <c r="L212" s="8"/>
    </row>
    <row r="213" ht="15" customHeight="1">
      <c r="A213" s="29"/>
      <c r="B213" s="18" t="str">
        <f>+[4]Presupuesto!C308</f>
        <v>DESCARGAS DOMICILIARIAS</v>
      </c>
      <c r="C213" s="19"/>
      <c r="D213" s="20"/>
      <c r="E213" s="21"/>
      <c r="F213" s="71"/>
      <c r="G213" s="35"/>
      <c r="H213" s="24"/>
      <c r="I213" s="36"/>
      <c r="J213" s="24"/>
      <c r="K213" s="35"/>
      <c r="L213" s="140" t="s">
        <v>114</v>
      </c>
    </row>
    <row r="214" ht="15" customHeight="1">
      <c r="A214" s="29" t="e">
        <f>fism!#REF!</f>
        <v>#REF!</v>
      </c>
      <c r="B214" s="18" t="e">
        <f>fism!#REF!</f>
        <v>#REF!</v>
      </c>
      <c r="C214" s="19"/>
      <c r="D214" s="20"/>
      <c r="E214" s="21"/>
      <c r="F214" s="22"/>
      <c r="G214" s="23"/>
      <c r="H214" s="24"/>
      <c r="I214" s="25"/>
      <c r="J214" s="26"/>
      <c r="K214" s="27"/>
      <c r="L214" s="28"/>
    </row>
    <row r="215" ht="15" customHeight="1">
      <c r="A215" s="29" t="e">
        <f>fism!#REF!</f>
        <v>#REF!</v>
      </c>
      <c r="B215" s="398" t="e">
        <f>fism!#REF!</f>
        <v>#REF!</v>
      </c>
      <c r="C215" s="19" t="e">
        <f>fism!#REF!</f>
        <v>#REF!</v>
      </c>
      <c r="D215" s="20"/>
      <c r="E215" s="30" t="s">
        <v>105</v>
      </c>
      <c r="F215" s="22"/>
      <c r="G215" s="178">
        <v>100</v>
      </c>
      <c r="H215" s="24">
        <v>6</v>
      </c>
      <c r="I215" s="160">
        <v>0.7</v>
      </c>
      <c r="J215" s="26"/>
      <c r="K215" s="27">
        <f>I215*H215*G215</f>
        <v>419.99999999999994</v>
      </c>
      <c r="L215" s="28"/>
    </row>
    <row r="216" ht="15" customHeight="1">
      <c r="A216" s="29"/>
      <c r="B216" s="399"/>
      <c r="C216" s="19"/>
      <c r="D216" s="20"/>
      <c r="E216" s="21"/>
      <c r="F216" s="22"/>
      <c r="G216" s="23"/>
      <c r="H216" s="24"/>
      <c r="I216" s="25"/>
      <c r="J216" s="26"/>
      <c r="K216" s="27"/>
      <c r="L216" s="28"/>
    </row>
    <row r="217" ht="15" customHeight="1">
      <c r="A217" s="29"/>
      <c r="B217" s="18"/>
      <c r="C217" s="19"/>
      <c r="D217" s="20"/>
      <c r="E217" s="21"/>
      <c r="F217" s="22"/>
      <c r="G217" s="23"/>
      <c r="H217" s="24"/>
      <c r="I217" s="25"/>
      <c r="J217" s="26"/>
      <c r="K217" s="27"/>
      <c r="L217" s="28"/>
    </row>
    <row r="218" ht="15" customHeight="1">
      <c r="A218" s="17" t="str">
        <f>+[4]Presupuesto!B309</f>
        <v>A1011</v>
      </c>
      <c r="B218" s="18" t="str">
        <f>+[4]Presupuesto!C309</f>
        <v>EXCAVACION EN ZANJA</v>
      </c>
      <c r="C218" s="19"/>
      <c r="D218" s="20"/>
      <c r="E218" s="21"/>
      <c r="F218" s="22"/>
      <c r="G218" s="23"/>
      <c r="H218" s="24"/>
      <c r="I218" s="25"/>
      <c r="J218" s="26"/>
      <c r="K218" s="27"/>
      <c r="L218" s="28"/>
    </row>
    <row r="219" ht="15" customHeight="1">
      <c r="A219" s="29">
        <f>fism!A38</f>
        <v>0</v>
      </c>
      <c r="B219" s="400">
        <f>fism!B38</f>
        <v>0</v>
      </c>
      <c r="C219" s="19" t="str">
        <f>+[4]Presupuesto!D311</f>
        <v>M3</v>
      </c>
      <c r="D219" s="20"/>
      <c r="E219" s="30" t="s">
        <v>105</v>
      </c>
      <c r="F219" s="22"/>
      <c r="G219" s="23"/>
      <c r="H219" s="24" t="s">
        <v>115</v>
      </c>
      <c r="I219" s="114">
        <f>K215</f>
        <v>419.99999999999994</v>
      </c>
      <c r="J219" s="26">
        <v>1.5</v>
      </c>
      <c r="K219" s="27">
        <f>I219*J219</f>
        <v>629.99999999999989</v>
      </c>
      <c r="L219" s="421" t="s">
        <v>91</v>
      </c>
    </row>
    <row r="220" ht="15" customHeight="1">
      <c r="A220" s="29"/>
      <c r="B220" s="400"/>
      <c r="C220" s="19"/>
      <c r="D220" s="20"/>
      <c r="E220" s="21"/>
      <c r="F220" s="22"/>
      <c r="G220" s="23"/>
      <c r="H220" s="32" t="s">
        <v>92</v>
      </c>
      <c r="I220" s="33"/>
      <c r="J220" s="34">
        <v>0.4</v>
      </c>
      <c r="K220" s="27">
        <f>K219*J220</f>
        <v>251.99999999999997</v>
      </c>
      <c r="L220" s="422"/>
    </row>
    <row r="221" ht="15" customHeight="1">
      <c r="A221" s="29"/>
      <c r="B221" s="400"/>
      <c r="C221" s="19"/>
      <c r="D221" s="20"/>
      <c r="E221" s="21"/>
      <c r="F221" s="22"/>
      <c r="G221" s="23"/>
      <c r="H221" s="24"/>
      <c r="I221" s="25"/>
      <c r="J221" s="26"/>
      <c r="K221" s="27"/>
      <c r="L221" s="422"/>
    </row>
    <row r="222" ht="15" customHeight="1">
      <c r="A222" s="29"/>
      <c r="B222" s="400"/>
      <c r="C222" s="19"/>
      <c r="D222" s="20"/>
      <c r="E222" s="21"/>
      <c r="F222" s="22"/>
      <c r="G222" s="23"/>
      <c r="H222" s="24"/>
      <c r="I222" s="25"/>
      <c r="J222" s="26"/>
      <c r="K222" s="27"/>
      <c r="L222" s="423"/>
    </row>
    <row r="223" ht="15" customHeight="1">
      <c r="A223" s="29"/>
      <c r="B223" s="400"/>
      <c r="C223" s="19"/>
      <c r="D223" s="20"/>
      <c r="E223" s="21"/>
      <c r="F223" s="22"/>
      <c r="G223" s="23"/>
      <c r="H223" s="24"/>
      <c r="I223" s="25"/>
      <c r="J223" s="26"/>
      <c r="K223" s="27"/>
      <c r="L223" s="28"/>
    </row>
    <row r="224" ht="15" customHeight="1">
      <c r="A224" s="29"/>
      <c r="B224" s="38"/>
      <c r="C224" s="19"/>
      <c r="D224" s="20"/>
      <c r="E224" s="21"/>
      <c r="F224" s="22"/>
      <c r="G224" s="23"/>
      <c r="H224" s="24"/>
      <c r="I224" s="25"/>
      <c r="J224" s="26"/>
      <c r="K224" s="27"/>
      <c r="L224" s="28"/>
    </row>
    <row r="225" ht="15" customHeight="1">
      <c r="A225" s="29">
        <f>fism!A39</f>
        <v>0</v>
      </c>
      <c r="B225" s="400">
        <f>fism!B39</f>
        <v>0</v>
      </c>
      <c r="C225" s="19">
        <f>fism!C39</f>
        <v>0</v>
      </c>
      <c r="D225" s="20"/>
      <c r="E225" s="30" t="s">
        <v>105</v>
      </c>
      <c r="F225" s="22"/>
      <c r="G225" s="23"/>
      <c r="H225" s="24"/>
      <c r="I225" s="114">
        <f>I219</f>
        <v>419.99999999999994</v>
      </c>
      <c r="J225" s="26">
        <v>1.5</v>
      </c>
      <c r="K225" s="27">
        <f>I225*J225</f>
        <v>629.99999999999989</v>
      </c>
      <c r="L225" s="28"/>
    </row>
    <row r="226" ht="15" customHeight="1">
      <c r="A226" s="29"/>
      <c r="B226" s="400"/>
      <c r="C226" s="19"/>
      <c r="D226" s="20"/>
      <c r="E226" s="21"/>
      <c r="F226" s="22"/>
      <c r="G226" s="23"/>
      <c r="H226" s="32" t="s">
        <v>94</v>
      </c>
      <c r="I226" s="33"/>
      <c r="J226" s="34">
        <v>0.6</v>
      </c>
      <c r="K226" s="27">
        <f>K225*J226</f>
        <v>377.99999999999994</v>
      </c>
      <c r="L226" s="28"/>
    </row>
    <row r="227" ht="15" customHeight="1">
      <c r="A227" s="29"/>
      <c r="B227" s="400"/>
      <c r="C227" s="19"/>
      <c r="D227" s="20"/>
      <c r="E227" s="21"/>
      <c r="F227" s="22"/>
      <c r="G227" s="23"/>
      <c r="H227" s="24"/>
      <c r="I227" s="25"/>
      <c r="J227" s="26"/>
      <c r="K227" s="27"/>
      <c r="L227" s="28"/>
    </row>
    <row r="228" ht="15" customHeight="1">
      <c r="A228" s="29"/>
      <c r="B228" s="400"/>
      <c r="C228" s="19"/>
      <c r="D228" s="20"/>
      <c r="E228" s="21"/>
      <c r="F228" s="22"/>
      <c r="G228" s="23"/>
      <c r="H228" s="24"/>
      <c r="I228" s="25"/>
      <c r="J228" s="26"/>
      <c r="K228" s="27"/>
      <c r="L228" s="28"/>
    </row>
    <row r="229" ht="15" customHeight="1">
      <c r="A229" s="29"/>
      <c r="B229" s="400"/>
      <c r="C229" s="19"/>
      <c r="D229" s="20"/>
      <c r="E229" s="21"/>
      <c r="F229" s="22"/>
      <c r="G229" s="23"/>
      <c r="H229" s="24"/>
      <c r="I229" s="25"/>
      <c r="J229" s="26"/>
      <c r="K229" s="27"/>
      <c r="L229" s="28"/>
    </row>
    <row r="230" ht="15" customHeight="1">
      <c r="A230" s="29"/>
      <c r="B230" s="400"/>
      <c r="C230" s="19"/>
      <c r="D230" s="20"/>
      <c r="E230" s="21"/>
      <c r="F230" s="22"/>
      <c r="G230" s="23"/>
      <c r="H230" s="24"/>
      <c r="I230" s="25"/>
      <c r="J230" s="26"/>
      <c r="K230" s="27"/>
      <c r="L230" s="28"/>
    </row>
    <row r="231" ht="15" customHeight="1">
      <c r="A231" s="29"/>
      <c r="B231" s="38"/>
      <c r="C231" s="19"/>
      <c r="D231" s="20"/>
      <c r="E231" s="21"/>
      <c r="F231" s="22"/>
      <c r="G231" s="23"/>
      <c r="H231" s="24"/>
      <c r="I231" s="25"/>
      <c r="J231" s="26"/>
      <c r="K231" s="27"/>
      <c r="L231" s="28"/>
    </row>
    <row r="232" ht="16.5" customHeight="1">
      <c r="A232" s="90">
        <f>fism!A40</f>
        <v>0</v>
      </c>
      <c r="B232" s="416">
        <f>fism!B40</f>
        <v>0</v>
      </c>
      <c r="C232" s="19" t="s">
        <v>86</v>
      </c>
      <c r="D232" s="20"/>
      <c r="E232" s="30" t="s">
        <v>105</v>
      </c>
      <c r="F232" s="71"/>
      <c r="G232" s="35"/>
      <c r="H232" s="24"/>
      <c r="I232" s="107">
        <f>I225</f>
        <v>419.99999999999994</v>
      </c>
      <c r="J232" s="24">
        <v>1.5</v>
      </c>
      <c r="K232" s="108">
        <f>I232*J232</f>
        <v>629.99999999999989</v>
      </c>
      <c r="L232" s="140" t="s">
        <v>116</v>
      </c>
    </row>
    <row r="233" ht="15" customHeight="1">
      <c r="A233" s="29"/>
      <c r="B233" s="416"/>
      <c r="C233" s="19"/>
      <c r="D233" s="20"/>
      <c r="E233" s="30"/>
      <c r="F233" s="71"/>
      <c r="G233" s="35"/>
      <c r="H233" s="49" t="s">
        <v>92</v>
      </c>
      <c r="I233" s="96"/>
      <c r="J233" s="97">
        <v>0.4</v>
      </c>
      <c r="K233" s="35">
        <f>K232*J233</f>
        <v>251.99999999999997</v>
      </c>
      <c r="L233" s="28"/>
    </row>
    <row r="234" ht="15" customHeight="1">
      <c r="A234" s="29"/>
      <c r="B234" s="416"/>
      <c r="C234" s="19"/>
      <c r="D234" s="20"/>
      <c r="E234" s="21"/>
      <c r="F234" s="71"/>
      <c r="G234" s="35"/>
      <c r="H234" s="49"/>
      <c r="I234" s="96"/>
      <c r="J234" s="97"/>
      <c r="K234" s="35"/>
      <c r="L234" s="28"/>
    </row>
    <row r="235" ht="15" customHeight="1">
      <c r="A235" s="29"/>
      <c r="B235" s="416"/>
      <c r="C235" s="19"/>
      <c r="D235" s="20"/>
      <c r="E235" s="21"/>
      <c r="F235" s="71"/>
      <c r="G235" s="35"/>
      <c r="H235" s="49"/>
      <c r="I235" s="96"/>
      <c r="J235" s="97"/>
      <c r="K235" s="35"/>
      <c r="L235" s="28"/>
    </row>
    <row r="236" ht="15" customHeight="1">
      <c r="A236" s="29"/>
      <c r="B236" s="416"/>
      <c r="C236" s="19"/>
      <c r="D236" s="20"/>
      <c r="E236" s="21"/>
      <c r="F236" s="71"/>
      <c r="G236" s="35"/>
      <c r="H236" s="49"/>
      <c r="I236" s="96"/>
      <c r="J236" s="97"/>
      <c r="K236" s="35"/>
      <c r="L236" s="28"/>
    </row>
    <row r="237" ht="15" customHeight="1">
      <c r="A237" s="29"/>
      <c r="B237" s="416"/>
      <c r="C237" s="19"/>
      <c r="D237" s="20"/>
      <c r="E237" s="21"/>
      <c r="F237" s="71"/>
      <c r="G237" s="35"/>
      <c r="H237" s="24"/>
      <c r="I237" s="36"/>
      <c r="J237" s="24"/>
      <c r="K237" s="35"/>
      <c r="L237" s="28"/>
    </row>
    <row r="238" ht="15" customHeight="1">
      <c r="A238" s="29"/>
      <c r="B238" s="136"/>
      <c r="C238" s="19"/>
      <c r="D238" s="20"/>
      <c r="E238" s="21"/>
      <c r="F238" s="71"/>
      <c r="G238" s="35"/>
      <c r="H238" s="24"/>
      <c r="I238" s="36"/>
      <c r="J238" s="24"/>
      <c r="K238" s="35"/>
      <c r="L238" s="28"/>
    </row>
    <row r="239" ht="16.5" customHeight="1">
      <c r="A239" s="90">
        <f>fism!A41</f>
        <v>0</v>
      </c>
      <c r="B239" s="416">
        <f>fism!B41</f>
        <v>0</v>
      </c>
      <c r="C239" s="19" t="s">
        <v>86</v>
      </c>
      <c r="D239" s="20"/>
      <c r="E239" s="30" t="s">
        <v>105</v>
      </c>
      <c r="F239" s="71"/>
      <c r="G239" s="35"/>
      <c r="H239" s="24"/>
      <c r="I239" s="107">
        <f>I232</f>
        <v>419.99999999999994</v>
      </c>
      <c r="J239" s="24">
        <v>1.5</v>
      </c>
      <c r="K239" s="108">
        <f>I239*J239</f>
        <v>629.99999999999989</v>
      </c>
      <c r="L239" s="28" t="s">
        <v>117</v>
      </c>
    </row>
    <row r="240" ht="15" customHeight="1">
      <c r="A240" s="29"/>
      <c r="B240" s="416"/>
      <c r="C240" s="19"/>
      <c r="D240" s="20"/>
      <c r="E240" s="30"/>
      <c r="F240" s="71"/>
      <c r="G240" s="35"/>
      <c r="H240" s="49" t="s">
        <v>94</v>
      </c>
      <c r="I240" s="96"/>
      <c r="J240" s="97">
        <v>0.6</v>
      </c>
      <c r="K240" s="35">
        <f>K239*J240</f>
        <v>377.99999999999994</v>
      </c>
      <c r="L240" s="28"/>
    </row>
    <row r="241" ht="15" customHeight="1">
      <c r="A241" s="29"/>
      <c r="B241" s="416"/>
      <c r="C241" s="19"/>
      <c r="D241" s="20"/>
      <c r="E241" s="21"/>
      <c r="F241" s="71"/>
      <c r="G241" s="35"/>
      <c r="H241" s="49"/>
      <c r="I241" s="96"/>
      <c r="J241" s="97"/>
      <c r="K241" s="35"/>
      <c r="L241" s="28"/>
    </row>
    <row r="242" ht="15" customHeight="1">
      <c r="A242" s="29"/>
      <c r="B242" s="416"/>
      <c r="C242" s="19"/>
      <c r="D242" s="20"/>
      <c r="E242" s="21"/>
      <c r="F242" s="71"/>
      <c r="G242" s="35"/>
      <c r="H242" s="49"/>
      <c r="I242" s="96"/>
      <c r="J242" s="97"/>
      <c r="K242" s="35"/>
      <c r="L242" s="28"/>
    </row>
    <row r="243" ht="15" customHeight="1">
      <c r="A243" s="29"/>
      <c r="B243" s="38"/>
      <c r="C243" s="19"/>
      <c r="D243" s="20"/>
      <c r="E243" s="21"/>
      <c r="F243" s="22"/>
      <c r="G243" s="23"/>
      <c r="H243" s="24"/>
      <c r="I243" s="25"/>
      <c r="J243" s="26"/>
      <c r="K243" s="27"/>
      <c r="L243" s="28"/>
    </row>
    <row r="244" ht="15" customHeight="1">
      <c r="A244" s="17" t="str">
        <f>+[4]Presupuesto!B323</f>
        <v>A1020</v>
      </c>
      <c r="B244" s="18" t="str">
        <f>+[4]Presupuesto!C323</f>
        <v>RELLENOS</v>
      </c>
      <c r="C244" s="19"/>
      <c r="D244" s="20"/>
      <c r="E244" s="21"/>
      <c r="F244" s="22"/>
      <c r="G244" s="23"/>
      <c r="H244" s="24"/>
      <c r="I244" s="25"/>
      <c r="J244" s="26"/>
      <c r="K244" s="27"/>
      <c r="L244" s="28"/>
    </row>
    <row r="245" ht="15" customHeight="1">
      <c r="A245" s="29">
        <f>fism!A42</f>
        <v>0</v>
      </c>
      <c r="B245" s="398">
        <f>fism!B42</f>
        <v>0</v>
      </c>
      <c r="C245" s="19" t="str">
        <f>+[4]Presupuesto!D325</f>
        <v>M3</v>
      </c>
      <c r="D245" s="20"/>
      <c r="E245" s="30" t="s">
        <v>105</v>
      </c>
      <c r="F245" s="22"/>
      <c r="G245" s="23"/>
      <c r="H245" s="24">
        <f>K215</f>
        <v>419.99999999999994</v>
      </c>
      <c r="I245" s="160"/>
      <c r="J245" s="26">
        <v>0.1</v>
      </c>
      <c r="K245" s="27">
        <f>H245*J245</f>
        <v>42</v>
      </c>
      <c r="L245" s="28"/>
    </row>
    <row r="246" ht="15" customHeight="1">
      <c r="A246" s="29"/>
      <c r="B246" s="399"/>
      <c r="C246" s="19"/>
      <c r="D246" s="20"/>
      <c r="E246" s="21"/>
      <c r="F246" s="22"/>
      <c r="G246" s="23"/>
      <c r="H246" s="24"/>
      <c r="I246" s="25"/>
      <c r="J246" s="26"/>
      <c r="K246" s="27"/>
      <c r="L246" s="28"/>
    </row>
    <row r="247" ht="15" customHeight="1">
      <c r="A247" s="29"/>
      <c r="B247" s="399"/>
      <c r="C247" s="19"/>
      <c r="D247" s="20"/>
      <c r="E247" s="21"/>
      <c r="F247" s="22"/>
      <c r="G247" s="23"/>
      <c r="H247" s="24"/>
      <c r="I247" s="25"/>
      <c r="J247" s="26"/>
      <c r="K247" s="27"/>
      <c r="L247" s="28"/>
    </row>
    <row r="248" ht="15" customHeight="1">
      <c r="A248" s="56"/>
      <c r="B248" s="399"/>
      <c r="C248" s="57"/>
      <c r="D248" s="61"/>
      <c r="E248" s="62"/>
      <c r="F248" s="63"/>
      <c r="G248" s="23"/>
      <c r="H248" s="64"/>
      <c r="I248" s="65"/>
      <c r="J248" s="66"/>
      <c r="K248" s="70"/>
      <c r="L248" s="69"/>
    </row>
    <row r="249" ht="15" customHeight="1">
      <c r="A249" s="56"/>
      <c r="B249" s="402"/>
      <c r="C249" s="57"/>
      <c r="D249" s="61"/>
      <c r="E249" s="62"/>
      <c r="F249" s="63"/>
      <c r="G249" s="23"/>
      <c r="H249" s="64"/>
      <c r="I249" s="65"/>
      <c r="J249" s="66"/>
      <c r="K249" s="70"/>
      <c r="L249" s="69"/>
    </row>
    <row r="250" ht="15" customHeight="1" s="115" customFormat="1">
      <c r="A250" s="29"/>
      <c r="B250" s="38"/>
      <c r="C250" s="19"/>
      <c r="D250" s="20"/>
      <c r="E250" s="21"/>
      <c r="F250" s="22"/>
      <c r="G250" s="23"/>
      <c r="H250" s="24"/>
      <c r="I250" s="25"/>
      <c r="J250" s="26"/>
      <c r="K250" s="27"/>
      <c r="L250" s="28"/>
    </row>
    <row r="251" ht="15" customHeight="1">
      <c r="A251" s="73">
        <f>fism!A43</f>
        <v>0</v>
      </c>
      <c r="B251" s="398">
        <f>fism!B43</f>
        <v>0</v>
      </c>
      <c r="C251" s="74" t="str">
        <f>+[4]Presupuesto!D335</f>
        <v>M3</v>
      </c>
      <c r="D251" s="75"/>
      <c r="E251" s="76" t="s">
        <v>105</v>
      </c>
      <c r="F251" s="77"/>
      <c r="G251" s="23"/>
      <c r="H251" s="78">
        <f>H245</f>
        <v>419.99999999999994</v>
      </c>
      <c r="I251" s="161"/>
      <c r="J251" s="80">
        <v>1</v>
      </c>
      <c r="K251" s="27">
        <f>H251*J251</f>
        <v>419.99999999999994</v>
      </c>
      <c r="L251" s="82"/>
    </row>
    <row r="252" ht="15" customHeight="1">
      <c r="A252" s="73"/>
      <c r="B252" s="399"/>
      <c r="C252" s="74"/>
      <c r="D252" s="75"/>
      <c r="E252" s="76"/>
      <c r="F252" s="77"/>
      <c r="G252" s="23"/>
      <c r="H252" s="78"/>
      <c r="I252" s="79"/>
      <c r="J252" s="80"/>
      <c r="K252" s="81"/>
      <c r="L252" s="82"/>
    </row>
    <row r="253" ht="21" customHeight="1">
      <c r="A253" s="29"/>
      <c r="B253" s="399"/>
      <c r="C253" s="19"/>
      <c r="D253" s="20"/>
      <c r="E253" s="21"/>
      <c r="F253" s="22"/>
      <c r="G253" s="23"/>
      <c r="H253" s="24"/>
      <c r="I253" s="25"/>
      <c r="J253" s="26"/>
      <c r="K253" s="27"/>
      <c r="L253" s="28"/>
    </row>
    <row r="254" ht="15" customHeight="1">
      <c r="A254" s="29"/>
      <c r="B254" s="67"/>
      <c r="C254" s="19"/>
      <c r="D254" s="20"/>
      <c r="E254" s="21"/>
      <c r="F254" s="22"/>
      <c r="G254" s="35"/>
      <c r="H254" s="24"/>
      <c r="I254" s="25"/>
      <c r="J254" s="26"/>
      <c r="K254" s="27"/>
      <c r="L254" s="28"/>
    </row>
    <row r="255" ht="15" customHeight="1">
      <c r="A255" s="39"/>
      <c r="B255" s="40"/>
      <c r="C255" s="41"/>
      <c r="D255" s="42"/>
      <c r="E255" s="43"/>
      <c r="F255" s="44"/>
      <c r="G255" s="45"/>
      <c r="H255" s="46"/>
      <c r="I255" s="46"/>
      <c r="J255" s="42"/>
      <c r="K255" s="47"/>
      <c r="L255" s="48"/>
    </row>
    <row r="256" ht="15" customHeight="1">
      <c r="A256" s="29" t="e">
        <f>fism!#REF!</f>
        <v>#REF!</v>
      </c>
      <c r="B256" s="403" t="e">
        <f>fism!#REF!</f>
        <v>#REF!</v>
      </c>
      <c r="C256" s="19" t="str">
        <f>+[4]Presupuesto!D342</f>
        <v>M3</v>
      </c>
      <c r="D256" s="20"/>
      <c r="E256" s="30" t="s">
        <v>105</v>
      </c>
      <c r="F256" s="22"/>
      <c r="G256" s="23"/>
      <c r="H256" s="24">
        <f>H251</f>
        <v>419.99999999999994</v>
      </c>
      <c r="I256" s="25"/>
      <c r="J256" s="26">
        <v>0.6</v>
      </c>
      <c r="K256" s="81">
        <f>H256*J256</f>
        <v>251.99999999999994</v>
      </c>
      <c r="L256" s="28"/>
    </row>
    <row r="257" ht="15" customHeight="1">
      <c r="A257" s="29"/>
      <c r="B257" s="404"/>
      <c r="C257" s="19"/>
      <c r="D257" s="20"/>
      <c r="E257" s="21"/>
      <c r="F257" s="22"/>
      <c r="G257" s="23"/>
      <c r="H257" s="24"/>
      <c r="I257" s="25"/>
      <c r="J257" s="26"/>
      <c r="K257" s="27"/>
      <c r="L257" s="28"/>
    </row>
    <row r="258" ht="21" customHeight="1">
      <c r="A258" s="29"/>
      <c r="B258" s="404"/>
      <c r="C258" s="19"/>
      <c r="D258" s="20"/>
      <c r="E258" s="21"/>
      <c r="F258" s="22"/>
      <c r="G258" s="23"/>
      <c r="H258" s="24"/>
      <c r="I258" s="25"/>
      <c r="J258" s="26"/>
      <c r="K258" s="27"/>
      <c r="L258" s="28"/>
    </row>
    <row r="259" ht="15" customHeight="1">
      <c r="A259" s="29"/>
      <c r="B259" s="37"/>
      <c r="C259" s="19"/>
      <c r="D259" s="20"/>
      <c r="E259" s="21"/>
      <c r="F259" s="22"/>
      <c r="G259" s="23"/>
      <c r="H259" s="24"/>
      <c r="I259" s="25"/>
      <c r="J259" s="26"/>
      <c r="K259" s="27"/>
      <c r="L259" s="28"/>
    </row>
    <row r="260" ht="15" customHeight="1">
      <c r="A260" s="29"/>
      <c r="B260" s="37"/>
      <c r="C260" s="19"/>
      <c r="D260" s="20"/>
      <c r="E260" s="21"/>
      <c r="F260" s="22"/>
      <c r="G260" s="23"/>
      <c r="H260" s="24"/>
      <c r="I260" s="25"/>
      <c r="J260" s="26"/>
      <c r="K260" s="27"/>
      <c r="L260" s="28"/>
    </row>
    <row r="261" ht="15" customHeight="1">
      <c r="A261" s="17" t="e">
        <f>fism!#REF!</f>
        <v>#REF!</v>
      </c>
      <c r="B261" s="18" t="e">
        <f>fism!#REF!</f>
        <v>#REF!</v>
      </c>
      <c r="C261" s="19"/>
      <c r="D261" s="20"/>
      <c r="E261" s="21"/>
      <c r="F261" s="22"/>
      <c r="G261" s="23"/>
      <c r="H261" s="24"/>
      <c r="I261" s="25"/>
      <c r="J261" s="26"/>
      <c r="K261" s="27"/>
      <c r="L261" s="28"/>
    </row>
    <row r="262" ht="15" customHeight="1">
      <c r="A262" s="29" t="e">
        <f>fism!#REF!</f>
        <v>#REF!</v>
      </c>
      <c r="B262" s="398" t="e">
        <f>fism!#REF!</f>
        <v>#REF!</v>
      </c>
      <c r="C262" s="19" t="e">
        <f>fism!#REF!</f>
        <v>#REF!</v>
      </c>
      <c r="D262" s="20"/>
      <c r="E262" s="30" t="s">
        <v>105</v>
      </c>
      <c r="F262" s="22"/>
      <c r="G262" s="23"/>
      <c r="H262" s="24">
        <v>180</v>
      </c>
      <c r="I262" s="160">
        <v>6</v>
      </c>
      <c r="J262" s="26"/>
      <c r="K262" s="27">
        <f>H262*I262</f>
        <v>1080</v>
      </c>
      <c r="L262" s="50"/>
    </row>
    <row r="263" ht="15" customHeight="1">
      <c r="A263" s="29"/>
      <c r="B263" s="399"/>
      <c r="C263" s="19"/>
      <c r="D263" s="20"/>
      <c r="E263" s="21"/>
      <c r="F263" s="22"/>
      <c r="G263" s="23"/>
      <c r="H263" s="24"/>
      <c r="I263" s="25"/>
      <c r="J263" s="26"/>
      <c r="K263" s="27"/>
      <c r="L263" s="28"/>
    </row>
    <row r="264" ht="15" customHeight="1">
      <c r="A264" s="29"/>
      <c r="B264" s="399"/>
      <c r="C264" s="19"/>
      <c r="D264" s="20"/>
      <c r="E264" s="21"/>
      <c r="F264" s="22"/>
      <c r="G264" s="23"/>
      <c r="H264" s="24"/>
      <c r="I264" s="25"/>
      <c r="J264" s="26"/>
      <c r="K264" s="27"/>
      <c r="L264" s="28"/>
    </row>
    <row r="265" ht="15" customHeight="1">
      <c r="A265" s="29"/>
      <c r="B265" s="402"/>
      <c r="C265" s="19"/>
      <c r="D265" s="20"/>
      <c r="E265" s="21"/>
      <c r="F265" s="22"/>
      <c r="G265" s="23"/>
      <c r="H265" s="24"/>
      <c r="I265" s="25"/>
      <c r="J265" s="26"/>
      <c r="K265" s="27"/>
      <c r="L265" s="28"/>
    </row>
    <row r="266" ht="15" customHeight="1">
      <c r="A266" s="29"/>
      <c r="B266" s="58"/>
      <c r="C266" s="19"/>
      <c r="D266" s="54"/>
      <c r="E266" s="54"/>
      <c r="F266" s="51"/>
      <c r="G266" s="49"/>
      <c r="H266" s="49"/>
      <c r="I266" s="59"/>
      <c r="J266" s="52"/>
      <c r="K266" s="60"/>
      <c r="L266" s="28"/>
    </row>
    <row r="267" ht="15" customHeight="1">
      <c r="A267" s="29" t="e">
        <f>fism!#REF!</f>
        <v>#REF!</v>
      </c>
      <c r="B267" s="398" t="e">
        <f>fism!#REF!</f>
        <v>#REF!</v>
      </c>
      <c r="C267" s="19" t="e">
        <f>fism!#REF!</f>
        <v>#REF!</v>
      </c>
      <c r="D267" s="20"/>
      <c r="E267" s="30" t="s">
        <v>105</v>
      </c>
      <c r="F267" s="22"/>
      <c r="G267" s="23"/>
      <c r="H267" s="24"/>
      <c r="I267" s="25"/>
      <c r="J267" s="26"/>
      <c r="K267" s="27">
        <v>170</v>
      </c>
      <c r="L267" s="50"/>
    </row>
    <row r="268" ht="15" customHeight="1">
      <c r="A268" s="29"/>
      <c r="B268" s="399"/>
      <c r="C268" s="19"/>
      <c r="D268" s="20"/>
      <c r="E268" s="54"/>
      <c r="F268" s="51"/>
      <c r="G268" s="49"/>
      <c r="H268" s="49"/>
      <c r="I268" s="49"/>
      <c r="J268" s="52"/>
      <c r="K268" s="52"/>
      <c r="L268" s="28"/>
    </row>
    <row r="269" ht="15" customHeight="1">
      <c r="A269" s="29"/>
      <c r="B269" s="399"/>
      <c r="C269" s="19"/>
      <c r="D269" s="20"/>
      <c r="E269" s="54"/>
      <c r="F269" s="51"/>
      <c r="G269" s="49"/>
      <c r="H269" s="49"/>
      <c r="I269" s="49"/>
      <c r="J269" s="52"/>
      <c r="K269" s="55"/>
      <c r="L269" s="28"/>
    </row>
    <row r="270" ht="15" customHeight="1">
      <c r="A270" s="29"/>
      <c r="B270" s="402"/>
      <c r="C270" s="19"/>
      <c r="D270" s="20"/>
      <c r="E270" s="54"/>
      <c r="F270" s="51"/>
      <c r="G270" s="49"/>
      <c r="H270" s="49"/>
      <c r="I270" s="49"/>
      <c r="J270" s="52"/>
      <c r="K270" s="52"/>
      <c r="L270" s="28"/>
    </row>
    <row r="271" ht="15" customHeight="1">
      <c r="A271" s="29"/>
      <c r="B271" s="31"/>
      <c r="C271" s="19"/>
      <c r="D271" s="20"/>
      <c r="E271" s="21"/>
      <c r="F271" s="22"/>
      <c r="G271" s="23"/>
      <c r="H271" s="24"/>
      <c r="I271" s="25"/>
      <c r="J271" s="26"/>
      <c r="K271" s="27"/>
      <c r="L271" s="28"/>
    </row>
    <row r="272" ht="15" customHeight="1">
      <c r="A272" s="29" t="e">
        <f>fism!#REF!</f>
        <v>#REF!</v>
      </c>
      <c r="B272" s="398" t="e">
        <f>fism!#REF!</f>
        <v>#REF!</v>
      </c>
      <c r="C272" s="19" t="str">
        <f>+[4]Presupuesto!D391</f>
        <v>PZA</v>
      </c>
      <c r="D272" s="20"/>
      <c r="E272" s="30" t="s">
        <v>105</v>
      </c>
      <c r="F272" s="22"/>
      <c r="G272" s="23"/>
      <c r="H272" s="24"/>
      <c r="I272" s="25"/>
      <c r="J272" s="26"/>
      <c r="K272" s="27">
        <v>170</v>
      </c>
      <c r="L272" s="28"/>
    </row>
    <row r="273" ht="15" customHeight="1">
      <c r="A273" s="29"/>
      <c r="B273" s="399"/>
      <c r="C273" s="19"/>
      <c r="D273" s="20"/>
      <c r="E273" s="21"/>
      <c r="F273" s="22"/>
      <c r="G273" s="23"/>
      <c r="H273" s="24"/>
      <c r="I273" s="25"/>
      <c r="J273" s="26"/>
      <c r="K273" s="27"/>
      <c r="L273" s="28"/>
    </row>
    <row r="274" ht="15" customHeight="1">
      <c r="A274" s="29"/>
      <c r="B274" s="402"/>
      <c r="C274" s="19"/>
      <c r="D274" s="20"/>
      <c r="E274" s="21"/>
      <c r="F274" s="22"/>
      <c r="G274" s="23"/>
      <c r="H274" s="24"/>
      <c r="I274" s="25"/>
      <c r="J274" s="26"/>
      <c r="K274" s="27"/>
      <c r="L274" s="28"/>
    </row>
    <row r="275" ht="15" customHeight="1">
      <c r="A275" s="17" t="e">
        <f>fism!#REF!</f>
        <v>#REF!</v>
      </c>
      <c r="B275" s="103" t="e">
        <f>fism!#REF!</f>
        <v>#REF!</v>
      </c>
      <c r="C275" s="19"/>
      <c r="D275" s="20"/>
      <c r="E275" s="30" t="s">
        <v>70</v>
      </c>
      <c r="F275" s="84" t="s">
        <v>71</v>
      </c>
      <c r="G275" s="83" t="s">
        <v>72</v>
      </c>
      <c r="H275" s="24"/>
      <c r="I275" s="25"/>
      <c r="J275" s="26"/>
      <c r="L275" s="28"/>
    </row>
    <row r="276" ht="15" customHeight="1">
      <c r="A276" s="29" t="e">
        <f>fism!#REF!</f>
        <v>#REF!</v>
      </c>
      <c r="B276" s="401" t="e">
        <f>fism!#REF!</f>
        <v>#REF!</v>
      </c>
      <c r="C276" s="19" t="s">
        <v>86</v>
      </c>
      <c r="D276" s="61"/>
      <c r="E276" s="64">
        <v>1.5</v>
      </c>
      <c r="F276" s="104">
        <v>0.4</v>
      </c>
      <c r="G276" s="83">
        <v>0.1</v>
      </c>
      <c r="H276" s="64"/>
      <c r="I276" s="65"/>
      <c r="J276" s="66">
        <v>341</v>
      </c>
      <c r="K276" s="70">
        <f>E276*F276*G276*J276</f>
        <v>20.460000000000004</v>
      </c>
      <c r="L276" s="28"/>
    </row>
    <row r="277" ht="15" customHeight="1">
      <c r="A277" s="29"/>
      <c r="B277" s="399"/>
      <c r="C277" s="19"/>
      <c r="D277" s="20"/>
      <c r="E277" s="8"/>
      <c r="F277" s="8"/>
      <c r="G277" s="8"/>
      <c r="H277" s="8"/>
      <c r="I277" s="8"/>
      <c r="J277" s="8"/>
      <c r="K277" s="72"/>
      <c r="L277" s="28"/>
    </row>
    <row r="278" ht="15" customHeight="1">
      <c r="A278" s="29"/>
      <c r="B278" s="402"/>
      <c r="C278" s="19"/>
      <c r="D278" s="20"/>
      <c r="E278" s="21"/>
      <c r="F278" s="71"/>
      <c r="G278" s="35"/>
      <c r="H278" s="24"/>
      <c r="I278" s="36"/>
      <c r="J278" s="24"/>
      <c r="K278" s="35"/>
      <c r="L278" s="28"/>
    </row>
    <row r="279" ht="36">
      <c r="A279" s="29">
        <v>1001000043</v>
      </c>
      <c r="B279" s="38" t="s">
        <v>118</v>
      </c>
      <c r="C279" s="165" t="s">
        <v>86</v>
      </c>
      <c r="D279" s="20"/>
      <c r="E279" s="64">
        <v>5</v>
      </c>
      <c r="F279" s="104">
        <v>0.4</v>
      </c>
      <c r="G279" s="83">
        <v>0.1</v>
      </c>
      <c r="H279" s="64"/>
      <c r="I279" s="65"/>
      <c r="J279" s="66">
        <v>341</v>
      </c>
      <c r="K279" s="70">
        <f>E279*F279*G279*J279*0.4</f>
        <v>27.28</v>
      </c>
      <c r="L279" s="28"/>
    </row>
    <row r="280" ht="15" customHeight="1">
      <c r="A280" s="29"/>
      <c r="B280" s="38"/>
      <c r="C280" s="165"/>
      <c r="D280" s="20"/>
      <c r="E280" s="21"/>
      <c r="F280" s="71"/>
      <c r="G280" s="35"/>
      <c r="H280" s="24"/>
      <c r="I280" s="36"/>
      <c r="J280" s="24"/>
      <c r="K280" s="35"/>
      <c r="L280" s="28"/>
    </row>
    <row r="281" ht="15" customHeight="1">
      <c r="A281" s="29"/>
      <c r="B281" s="38"/>
      <c r="C281" s="165"/>
      <c r="D281" s="20"/>
      <c r="E281" s="21"/>
      <c r="F281" s="71"/>
      <c r="G281" s="35"/>
      <c r="H281" s="24"/>
      <c r="I281" s="36"/>
      <c r="J281" s="24"/>
      <c r="K281" s="35"/>
      <c r="L281" s="28"/>
    </row>
    <row r="282" ht="15" customHeight="1">
      <c r="A282" s="99" t="e">
        <f>fism!#REF!</f>
        <v>#REF!</v>
      </c>
      <c r="B282" s="105" t="e">
        <f>fism!#REF!</f>
        <v>#REF!</v>
      </c>
      <c r="D282" s="8"/>
      <c r="E282" s="8"/>
      <c r="F282" s="8"/>
      <c r="G282" s="8"/>
      <c r="H282" s="8"/>
      <c r="I282" s="8"/>
      <c r="J282" s="8"/>
      <c r="K282" s="72"/>
      <c r="L282" s="28"/>
    </row>
    <row r="283" ht="15" customHeight="1">
      <c r="A283" s="29" t="e">
        <f>fism!#REF!</f>
        <v>#REF!</v>
      </c>
      <c r="B283" s="401" t="e">
        <f>fism!#REF!</f>
        <v>#REF!</v>
      </c>
      <c r="C283" s="116"/>
      <c r="D283" s="20"/>
      <c r="E283" s="30" t="s">
        <v>70</v>
      </c>
      <c r="F283" s="108" t="s">
        <v>71</v>
      </c>
      <c r="G283" s="108"/>
      <c r="H283" s="24"/>
      <c r="I283" s="36"/>
      <c r="J283" s="24"/>
      <c r="K283" s="72"/>
      <c r="L283" s="28"/>
    </row>
    <row r="284" ht="15" customHeight="1">
      <c r="A284" s="29"/>
      <c r="B284" s="399"/>
      <c r="C284" s="19" t="s">
        <v>80</v>
      </c>
      <c r="D284" s="61"/>
      <c r="E284" s="64">
        <v>1.5</v>
      </c>
      <c r="F284" s="104">
        <v>0.4</v>
      </c>
      <c r="G284" s="83"/>
      <c r="H284" s="64"/>
      <c r="I284" s="65"/>
      <c r="J284" s="66">
        <v>120</v>
      </c>
      <c r="K284" s="70">
        <f>E284*F284*J284</f>
        <v>72.000000000000014</v>
      </c>
      <c r="L284" s="28"/>
    </row>
    <row r="285" ht="15" customHeight="1">
      <c r="A285" s="29"/>
      <c r="B285" s="402"/>
      <c r="C285" s="19"/>
      <c r="D285" s="20"/>
      <c r="E285" s="21"/>
      <c r="F285" s="22"/>
      <c r="G285" s="23"/>
      <c r="H285" s="24"/>
      <c r="I285" s="25"/>
      <c r="J285" s="26"/>
      <c r="K285" s="27"/>
      <c r="L285" s="28"/>
    </row>
    <row r="286" ht="15" customHeight="1">
      <c r="A286" s="29"/>
      <c r="B286" s="38"/>
      <c r="C286" s="19"/>
      <c r="D286" s="20"/>
      <c r="E286" s="21"/>
      <c r="F286" s="22"/>
      <c r="G286" s="23"/>
      <c r="H286" s="24"/>
      <c r="I286" s="25"/>
      <c r="J286" s="26"/>
      <c r="K286" s="27"/>
      <c r="L286" s="28"/>
    </row>
    <row r="287" ht="66.75" customHeight="1">
      <c r="A287" s="29">
        <v>1307000043</v>
      </c>
      <c r="B287" s="38" t="s">
        <v>119</v>
      </c>
      <c r="C287" s="19" t="s">
        <v>86</v>
      </c>
      <c r="D287" s="20"/>
      <c r="E287" s="166">
        <v>5</v>
      </c>
      <c r="F287" s="167">
        <v>0.4</v>
      </c>
      <c r="G287" s="168"/>
      <c r="H287" s="166"/>
      <c r="I287" s="169"/>
      <c r="J287" s="170">
        <v>120</v>
      </c>
      <c r="K287" s="171">
        <f>E287*F287*J287*0.4</f>
        <v>96</v>
      </c>
      <c r="L287" s="28"/>
    </row>
    <row r="288" ht="15" customHeight="1">
      <c r="A288" s="29"/>
      <c r="B288" s="38"/>
      <c r="C288" s="19"/>
      <c r="D288" s="20"/>
      <c r="E288" s="21"/>
      <c r="F288" s="22"/>
      <c r="G288" s="23"/>
      <c r="H288" s="24"/>
      <c r="I288" s="25"/>
      <c r="J288" s="26"/>
      <c r="K288" s="27"/>
      <c r="L288" s="28"/>
    </row>
    <row r="289" ht="15" customHeight="1">
      <c r="A289" s="29"/>
      <c r="B289" s="38"/>
      <c r="C289" s="19"/>
      <c r="D289" s="20"/>
      <c r="E289" s="21"/>
      <c r="F289" s="22"/>
      <c r="G289" s="23"/>
      <c r="H289" s="24"/>
      <c r="I289" s="25"/>
      <c r="J289" s="26"/>
      <c r="K289" s="27"/>
      <c r="L289" s="28"/>
    </row>
    <row r="290" ht="15" customHeight="1">
      <c r="A290" s="29" t="e">
        <f>fism!#REF!</f>
        <v>#REF!</v>
      </c>
      <c r="B290" s="412" t="e">
        <f>fism!#REF!</f>
        <v>#REF!</v>
      </c>
      <c r="C290" s="19" t="e">
        <f>fism!#REF!</f>
        <v>#REF!</v>
      </c>
      <c r="D290" s="20"/>
      <c r="E290" s="30" t="s">
        <v>105</v>
      </c>
      <c r="F290" s="22"/>
      <c r="G290" s="23"/>
      <c r="H290" s="24"/>
      <c r="I290" s="25"/>
      <c r="J290" s="26"/>
      <c r="K290" s="27">
        <v>170</v>
      </c>
      <c r="L290" s="28"/>
    </row>
    <row r="291" ht="15" customHeight="1">
      <c r="A291" s="29"/>
      <c r="B291" s="413"/>
      <c r="C291" s="19"/>
      <c r="D291" s="20"/>
      <c r="E291" s="21"/>
      <c r="F291" s="22"/>
      <c r="G291" s="23"/>
      <c r="H291" s="24"/>
      <c r="I291" s="25"/>
      <c r="J291" s="26"/>
      <c r="K291" s="27"/>
      <c r="L291" s="28"/>
    </row>
    <row r="292" ht="15" customHeight="1">
      <c r="A292" s="29"/>
      <c r="B292" s="413"/>
      <c r="C292" s="19"/>
      <c r="D292" s="20"/>
      <c r="E292" s="21"/>
      <c r="F292" s="22"/>
      <c r="G292" s="23"/>
      <c r="H292" s="24"/>
      <c r="I292" s="25"/>
      <c r="J292" s="26"/>
      <c r="K292" s="27"/>
      <c r="L292" s="28"/>
    </row>
    <row r="293" ht="15" customHeight="1">
      <c r="A293" s="29"/>
      <c r="B293" s="413"/>
      <c r="C293" s="19"/>
      <c r="D293" s="20"/>
      <c r="E293" s="21"/>
      <c r="F293" s="22"/>
      <c r="G293" s="23"/>
      <c r="H293" s="24"/>
      <c r="I293" s="25"/>
      <c r="J293" s="26"/>
      <c r="K293" s="27"/>
      <c r="L293" s="28"/>
    </row>
    <row r="294" ht="15" customHeight="1">
      <c r="A294" s="29"/>
      <c r="B294" s="413"/>
      <c r="C294" s="19"/>
      <c r="D294" s="20"/>
      <c r="E294" s="21"/>
      <c r="F294" s="22"/>
      <c r="G294" s="23"/>
      <c r="H294" s="24"/>
      <c r="I294" s="25"/>
      <c r="J294" s="26"/>
      <c r="K294" s="27"/>
      <c r="L294" s="28"/>
    </row>
    <row r="295" ht="15" customHeight="1">
      <c r="A295" s="29"/>
      <c r="B295" s="413"/>
      <c r="C295" s="19"/>
      <c r="D295" s="20"/>
      <c r="E295" s="21"/>
      <c r="F295" s="22"/>
      <c r="G295" s="23"/>
      <c r="H295" s="24"/>
      <c r="I295" s="25"/>
      <c r="J295" s="26"/>
      <c r="K295" s="27"/>
      <c r="L295" s="28"/>
    </row>
    <row r="296" ht="15" customHeight="1">
      <c r="A296" s="29"/>
      <c r="B296" s="413"/>
      <c r="C296" s="19"/>
      <c r="D296" s="20"/>
      <c r="E296" s="21"/>
      <c r="F296" s="22"/>
      <c r="G296" s="23"/>
      <c r="H296" s="24"/>
      <c r="I296" s="25"/>
      <c r="J296" s="26"/>
      <c r="K296" s="27"/>
      <c r="L296" s="28"/>
    </row>
    <row r="297" ht="15" customHeight="1">
      <c r="A297" s="29"/>
      <c r="B297" s="413"/>
      <c r="C297" s="19"/>
      <c r="D297" s="20"/>
      <c r="E297" s="21"/>
      <c r="F297" s="22"/>
      <c r="G297" s="23"/>
      <c r="H297" s="24"/>
      <c r="I297" s="25"/>
      <c r="J297" s="26"/>
      <c r="K297" s="27"/>
      <c r="L297" s="28"/>
    </row>
    <row r="298" ht="15" customHeight="1">
      <c r="A298" s="29"/>
      <c r="B298" s="413"/>
      <c r="C298" s="19"/>
      <c r="D298" s="20"/>
      <c r="E298" s="21"/>
      <c r="F298" s="22"/>
      <c r="G298" s="23"/>
      <c r="H298" s="24"/>
      <c r="I298" s="25"/>
      <c r="J298" s="26"/>
      <c r="K298" s="27"/>
      <c r="L298" s="28"/>
    </row>
    <row r="299" ht="15" customHeight="1">
      <c r="A299" s="29"/>
      <c r="B299" s="413"/>
      <c r="C299" s="19"/>
      <c r="D299" s="20"/>
      <c r="E299" s="21"/>
      <c r="F299" s="22"/>
      <c r="G299" s="23"/>
      <c r="H299" s="24"/>
      <c r="I299" s="25"/>
      <c r="J299" s="26"/>
      <c r="K299" s="27"/>
      <c r="L299" s="28"/>
    </row>
    <row r="300" ht="15" customHeight="1">
      <c r="A300" s="29"/>
      <c r="B300" s="414"/>
      <c r="C300" s="19"/>
      <c r="D300" s="20"/>
      <c r="E300" s="21"/>
      <c r="F300" s="22"/>
      <c r="G300" s="23"/>
      <c r="H300" s="24"/>
      <c r="I300" s="25"/>
      <c r="J300" s="26"/>
      <c r="K300" s="27"/>
      <c r="L300" s="28"/>
    </row>
    <row r="301" ht="15" customHeight="1">
      <c r="A301" s="29"/>
      <c r="B301" s="38"/>
      <c r="C301" s="19"/>
      <c r="D301" s="20"/>
      <c r="E301" s="21"/>
      <c r="F301" s="22"/>
      <c r="G301" s="23"/>
      <c r="H301" s="24"/>
      <c r="I301" s="25"/>
      <c r="J301" s="26"/>
      <c r="K301" s="27"/>
      <c r="L301" s="28"/>
    </row>
    <row r="302" ht="15" customHeight="1">
      <c r="A302" s="29"/>
      <c r="B302" s="38"/>
      <c r="C302" s="19"/>
      <c r="D302" s="20"/>
      <c r="E302" s="21"/>
      <c r="F302" s="22"/>
      <c r="G302" s="23"/>
      <c r="H302" s="24"/>
      <c r="I302" s="25"/>
      <c r="J302" s="26"/>
      <c r="K302" s="27"/>
      <c r="L302" s="28"/>
    </row>
    <row r="303" ht="15" customHeight="1">
      <c r="A303" s="29"/>
      <c r="B303" s="38"/>
      <c r="C303" s="19"/>
      <c r="D303" s="20"/>
      <c r="E303" s="21"/>
      <c r="F303" s="22"/>
      <c r="G303" s="23"/>
      <c r="H303" s="24"/>
      <c r="I303" s="25"/>
      <c r="J303" s="26"/>
      <c r="K303" s="27"/>
      <c r="L303" s="28"/>
    </row>
    <row r="304" ht="15" customHeight="1">
      <c r="A304" s="29"/>
      <c r="B304" s="38"/>
      <c r="C304" s="19"/>
      <c r="D304" s="20"/>
      <c r="E304" s="21"/>
      <c r="F304" s="22"/>
      <c r="G304" s="23"/>
      <c r="H304" s="24"/>
      <c r="I304" s="25"/>
      <c r="J304" s="26"/>
      <c r="K304" s="27"/>
      <c r="L304" s="28"/>
    </row>
    <row r="305" ht="15" customHeight="1">
      <c r="A305" s="29"/>
      <c r="B305" s="38"/>
      <c r="C305" s="19"/>
      <c r="D305" s="20"/>
      <c r="E305" s="21"/>
      <c r="F305" s="22"/>
      <c r="G305" s="23"/>
      <c r="H305" s="24"/>
      <c r="I305" s="25"/>
      <c r="J305" s="26"/>
      <c r="K305" s="27"/>
      <c r="L305" s="28"/>
    </row>
    <row r="306" ht="15" customHeight="1">
      <c r="A306" s="29"/>
      <c r="B306" s="38"/>
      <c r="C306" s="19"/>
      <c r="D306" s="20"/>
      <c r="E306" s="21"/>
      <c r="F306" s="22"/>
      <c r="G306" s="23"/>
      <c r="H306" s="24"/>
      <c r="I306" s="25"/>
      <c r="J306" s="26"/>
      <c r="K306" s="27"/>
      <c r="L306" s="28"/>
    </row>
    <row r="307" ht="15" customHeight="1">
      <c r="A307" s="29"/>
      <c r="B307" s="38"/>
      <c r="C307" s="19"/>
      <c r="D307" s="20"/>
      <c r="E307" s="21"/>
      <c r="F307" s="71"/>
      <c r="G307" s="35"/>
      <c r="H307" s="24"/>
      <c r="I307" s="36"/>
      <c r="J307" s="24"/>
      <c r="K307" s="35"/>
      <c r="L307" s="28"/>
    </row>
    <row r="308">
      <c r="A308" s="39"/>
      <c r="B308" s="40"/>
      <c r="C308" s="41"/>
      <c r="D308" s="42"/>
      <c r="E308" s="43"/>
      <c r="F308" s="44"/>
      <c r="G308" s="45"/>
      <c r="H308" s="46"/>
      <c r="I308" s="46"/>
      <c r="J308" s="42"/>
      <c r="K308" s="47"/>
      <c r="L308" s="48"/>
    </row>
  </sheetData>
  <mergeCells>
    <mergeCell ref="B79:B82"/>
    <mergeCell ref="B104:B108"/>
    <mergeCell ref="B84:B87"/>
    <mergeCell ref="B26:B28"/>
    <mergeCell ref="B1:K1"/>
    <mergeCell ref="B2:K2"/>
    <mergeCell ref="B3:K3"/>
    <mergeCell ref="K16:K17"/>
    <mergeCell ref="B67:B71"/>
    <mergeCell ref="B48:B52"/>
    <mergeCell ref="B290:B300"/>
    <mergeCell ref="B272:B274"/>
    <mergeCell ref="B245:B249"/>
    <mergeCell ref="B54:B59"/>
    <mergeCell ref="B61:B65"/>
    <mergeCell ref="B176:B188"/>
    <mergeCell ref="B73:B77"/>
    <mergeCell ref="B133:B145"/>
    <mergeCell ref="B147:B159"/>
    <mergeCell ref="B99:B101"/>
    <mergeCell ref="L42:L44"/>
    <mergeCell ref="L36:L38"/>
    <mergeCell ref="B267:B270"/>
    <mergeCell ref="B251:B253"/>
    <mergeCell ref="B239:B242"/>
    <mergeCell ref="L219:L222"/>
    <mergeCell ref="B232:B237"/>
    <mergeCell ref="B219:B223"/>
    <mergeCell ref="B36:B40"/>
    <mergeCell ref="B42:B46"/>
    <mergeCell ref="B190:B191"/>
    <mergeCell ref="B194:B196"/>
    <mergeCell ref="J16:J17"/>
    <mergeCell ref="B89:B93"/>
    <mergeCell ref="B112:B114"/>
    <mergeCell ref="B119:B131"/>
    <mergeCell ref="B95:B97"/>
    <mergeCell ref="B30:B33"/>
    <mergeCell ref="B20:B21"/>
    <mergeCell ref="B22:B23"/>
    <mergeCell ref="L16:L17"/>
    <mergeCell ref="A15:L15"/>
    <mergeCell ref="A16:A17"/>
    <mergeCell ref="B16:B17"/>
    <mergeCell ref="C16:C17"/>
    <mergeCell ref="D16:F16"/>
    <mergeCell ref="G16:G17"/>
    <mergeCell ref="H16:H17"/>
    <mergeCell ref="I16:I17"/>
    <mergeCell ref="D79:G79"/>
    <mergeCell ref="D81:F81"/>
    <mergeCell ref="B215:B216"/>
    <mergeCell ref="B225:B230"/>
    <mergeCell ref="B276:B278"/>
    <mergeCell ref="B283:B285"/>
    <mergeCell ref="B256:B258"/>
    <mergeCell ref="B262:B265"/>
    <mergeCell ref="B199:B205"/>
    <mergeCell ref="B161:B173"/>
  </mergeCells>
  <printOptions horizontalCentered="1" gridLinesSet="0"/>
  <pageMargins left="0.51181102362204722" right="0.27559055118110237" top="0.35433070866141736" bottom="0.19685039370078741" header="0.27559055118110237" footer="0.15748031496062992"/>
  <pageSetup scale="41" orientation="landscape"/>
  <headerFooter alignWithMargins="0"/>
  <rowBreaks count="5" manualBreakCount="5">
    <brk id="78" max="1048575" man="1"/>
    <brk id="132" max="1048575" man="1"/>
    <brk id="160" max="1048575" man="1"/>
    <brk id="210" max="1048575" man="1"/>
    <brk id="255" max="1048575" man="1"/>
  </rowBreaks>
  <drawing r:id="rId2"/>
</worksheet>
</file>

<file path=EPPlusLicense.txt>This workbook was created with the EPPlus library, licensed to Ceduver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fism</vt:lpstr>
      <vt:lpstr>GENERADOR</vt:lpstr>
      <vt:lpstr>fism!Área_de_impresión</vt:lpstr>
      <vt:lpstr>GENERADOR!Área_de_impresión</vt:lpstr>
      <vt:lpstr>fism!Títulos_a_imprimir</vt:lpstr>
      <vt:lpstr>GENERADOR!Títulos_a_imprimir</vt:lpstr>
    </vt:vector>
  </TitlesOfParts>
  <Company>Personal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Ceduver</dc:creator>
  <cp:lastModifiedBy>Usuario de Windows</cp:lastModifiedBy>
  <cp:lastPrinted>2023-02-15T17:52:39Z</cp:lastPrinted>
  <dcterms:created xsi:type="dcterms:W3CDTF">2002-01-01T06:41:45Z</dcterms:created>
  <dcterms:modified xsi:type="dcterms:W3CDTF">2023-02-17T03:41:01Z</dcterms:modified>
  <cp:keywords>EPPlus noncommercial use</cp:keywords>
  <dc:description>This workbook has been created with EPPlus licensed to Ceduver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